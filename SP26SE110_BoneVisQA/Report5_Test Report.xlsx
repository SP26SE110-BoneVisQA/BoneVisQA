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19368" windowHeight="9072" activeTab="6"/>
  </bookViews>
  <sheets>
    <sheet name="Cover" sheetId="1" r:id="rId1"/>
    <sheet name="Test Cases" sheetId="2" r:id="rId2"/>
    <sheet name="Test Statistics" sheetId="3" r:id="rId3"/>
    <sheet name="Admin" sheetId="4" r:id="rId4"/>
    <sheet name="Expert" sheetId="5" r:id="rId5"/>
    <sheet name="Lecturer" sheetId="6" r:id="rId6"/>
    <sheet name="Student" sheetId="7" r:id="rId7"/>
  </sheets>
  <calcPr calcId="162913"/>
</workbook>
</file>

<file path=xl/calcChain.xml><?xml version="1.0" encoding="utf-8"?>
<calcChain xmlns="http://schemas.openxmlformats.org/spreadsheetml/2006/main">
  <c r="E8" i="7" l="1"/>
  <c r="D8" i="7"/>
  <c r="C8" i="7"/>
  <c r="B8" i="7"/>
  <c r="E7" i="7"/>
  <c r="D7" i="7"/>
  <c r="C7" i="7"/>
  <c r="B7" i="7"/>
  <c r="E6" i="7"/>
  <c r="D6" i="7"/>
  <c r="C6" i="7"/>
  <c r="B6" i="7"/>
  <c r="E8" i="6"/>
  <c r="D8" i="6"/>
  <c r="C8" i="6"/>
  <c r="B8" i="6"/>
  <c r="E7" i="6"/>
  <c r="D7" i="6"/>
  <c r="C7" i="6"/>
  <c r="B7" i="6"/>
  <c r="E6" i="6"/>
  <c r="D6" i="6"/>
  <c r="C6" i="6"/>
  <c r="B6" i="6"/>
  <c r="E8" i="5"/>
  <c r="D8" i="5"/>
  <c r="C8" i="5"/>
  <c r="B8" i="5"/>
  <c r="E7" i="5"/>
  <c r="D7" i="5"/>
  <c r="C7" i="5"/>
  <c r="B7" i="5"/>
  <c r="E6" i="5"/>
  <c r="D6" i="5"/>
  <c r="C6" i="5"/>
  <c r="B6" i="5"/>
  <c r="E8" i="4"/>
  <c r="D8" i="4"/>
  <c r="C8" i="4"/>
  <c r="B8" i="4"/>
  <c r="E7" i="4"/>
  <c r="D7" i="4"/>
  <c r="C7" i="4"/>
  <c r="B7" i="4"/>
  <c r="E6" i="4"/>
  <c r="D6" i="4"/>
  <c r="C6" i="4"/>
  <c r="B6" i="4"/>
  <c r="F25" i="3"/>
  <c r="F24" i="3"/>
  <c r="H22" i="3"/>
  <c r="G22" i="3"/>
  <c r="F22" i="3"/>
  <c r="E22" i="3"/>
  <c r="D22" i="3"/>
  <c r="G16" i="3"/>
  <c r="E16" i="3"/>
  <c r="G14" i="3"/>
  <c r="E14" i="3"/>
  <c r="G13" i="3"/>
  <c r="E13" i="3"/>
  <c r="G12" i="3"/>
  <c r="E12" i="3"/>
  <c r="G11" i="3"/>
  <c r="E11" i="3"/>
  <c r="B6" i="1"/>
</calcChain>
</file>

<file path=xl/comments1.xml><?xml version="1.0" encoding="utf-8"?>
<comments xmlns="http://schemas.openxmlformats.org/spreadsheetml/2006/main">
  <authors>
    <author>Author</author>
  </authors>
  <commentList>
    <comment ref="D22" authorId="0" shapeId="0">
      <text/>
    </comment>
  </commentList>
</comments>
</file>

<file path=xl/comments2.xml><?xml version="1.0" encoding="utf-8"?>
<comments xmlns="http://schemas.openxmlformats.org/spreadsheetml/2006/main">
  <authors>
    <author>Author</author>
  </authors>
  <commentList>
    <comment ref="B14" authorId="0" shapeId="0">
      <text/>
    </comment>
  </commentList>
</comments>
</file>

<file path=xl/sharedStrings.xml><?xml version="1.0" encoding="utf-8"?>
<sst xmlns="http://schemas.openxmlformats.org/spreadsheetml/2006/main" count="1076" uniqueCount="490">
  <si>
    <t>TEST REPORT DOCUMENT</t>
  </si>
  <si>
    <t>Project Name</t>
  </si>
  <si>
    <t>BoneVisQA</t>
  </si>
  <si>
    <t>Creator</t>
  </si>
  <si>
    <t>Nguyen Nhat Nam</t>
  </si>
  <si>
    <t>Project Code</t>
  </si>
  <si>
    <t>SP26SE110</t>
  </si>
  <si>
    <t>Issue Date</t>
  </si>
  <si>
    <t>Document Code</t>
  </si>
  <si>
    <t>Version</t>
  </si>
  <si>
    <t>Record of change</t>
  </si>
  <si>
    <t>Effective Date</t>
  </si>
  <si>
    <t>Change Item</t>
  </si>
  <si>
    <t>*A,D,M</t>
  </si>
  <si>
    <t>Change description</t>
  </si>
  <si>
    <t>Reference</t>
  </si>
  <si>
    <t>&lt;Date when these changes are effective&gt;</t>
  </si>
  <si>
    <t>&lt;List of documents which are refered in this version.&gt;</t>
  </si>
  <si>
    <t>TEST CASE LIST</t>
  </si>
  <si>
    <t>BoneVisQA - Interactive Visual Question Answering System for Bone Diseases to Support Medical Students in Diagnostic Practice</t>
  </si>
  <si>
    <t>SP25SE110</t>
  </si>
  <si>
    <t>Test Environment Setup Description</t>
  </si>
  <si>
    <t>1. Server
2. Database
3. Web Browser</t>
  </si>
  <si>
    <t>No</t>
  </si>
  <si>
    <t>Function Name</t>
  </si>
  <si>
    <t>Sheet Name</t>
  </si>
  <si>
    <t>Description</t>
  </si>
  <si>
    <t>Pre-Condition</t>
  </si>
  <si>
    <t>Admin_Get_Users_List</t>
  </si>
  <si>
    <t>Admin</t>
  </si>
  <si>
    <t>Get list of all users with pagination</t>
  </si>
  <si>
    <t>Admin account is logged in with valid credentials</t>
  </si>
  <si>
    <t>Admin_Toggle_User_Status</t>
  </si>
  <si>
    <t>Change state (Active/Inactive) of a user</t>
  </si>
  <si>
    <t>Admin account is logged in, UserID exists</t>
  </si>
  <si>
    <t>Admin_Assign_User_Role</t>
  </si>
  <si>
    <t>Assign Role to any user</t>
  </si>
  <si>
    <t>Admin_Approve_Verification</t>
  </si>
  <si>
    <t>Approve verification profile of medical student</t>
  </si>
  <si>
    <t>User has pending verification profile, Admin is logged in</t>
  </si>
  <si>
    <t>Admin_Upload_RAG_Document</t>
  </si>
  <si>
    <t xml:space="preserve"> Upload PDF file as RAG system document</t>
  </si>
  <si>
    <t>Valid PDF file (under 10MB), Admin logs in</t>
  </si>
  <si>
    <t>Admin_View_System_Monitoring</t>
  </si>
  <si>
    <t>View system statistics (activity, Review, RAG)</t>
  </si>
  <si>
    <t>Admin account is logged in</t>
  </si>
  <si>
    <t>Admin_Create_New_Class</t>
  </si>
  <si>
    <t>Create a new Class in the system</t>
  </si>
  <si>
    <t>Admin_Assign_Class_Role</t>
  </si>
  <si>
    <t>Assign Lecturer, Expert, Student to a class</t>
  </si>
  <si>
    <t>The class exists, lecturer/course/student IDs are correct</t>
  </si>
  <si>
    <t>Expert_Create_Medical_Case</t>
  </si>
  <si>
    <t>Expert</t>
  </si>
  <si>
    <t>Create a new medical case with images</t>
  </si>
  <si>
    <t>Expert account is logged in with valid credentials</t>
  </si>
  <si>
    <t>Expert_Update_Medical_Case</t>
  </si>
  <si>
    <t>Edit text information of a created medical case</t>
  </si>
  <si>
    <t>The medical case is under the management of the Expert</t>
  </si>
  <si>
    <t>Expert_Add_Image_Annotation</t>
  </si>
  <si>
    <t>Add annotation to medical case image</t>
  </si>
  <si>
    <t>The medical case and its corresponding Medical_Image ID must be available</t>
  </si>
  <si>
    <t>Expert_Create_New_Quiz</t>
  </si>
  <si>
    <t>Create a new specialized Quiz</t>
  </si>
  <si>
    <t>Expert_Create_Quiz_Question</t>
  </si>
  <si>
    <t>Add question to an existing Quiz</t>
  </si>
  <si>
    <t>The Quiz was previously created in the system</t>
  </si>
  <si>
    <t>Expert_View_Dashboard_Stats</t>
  </si>
  <si>
    <t>View Expert overview statistics on Dashboard</t>
  </si>
  <si>
    <t>Expert account has activity data</t>
  </si>
  <si>
    <t>Expert_Get_Escalated_Answers</t>
  </si>
  <si>
    <t>View list of answers escalated by Lecturer</t>
  </si>
  <si>
    <t>An escalated question exists for the current Expert</t>
  </si>
  <si>
    <t>Expert_Resolve_Escalated_Answer</t>
  </si>
  <si>
    <t>Resolve and respond to escalated answers</t>
  </si>
  <si>
    <t>The answer is in Pending Review status</t>
  </si>
  <si>
    <t>Lecturer_View_Assigned_Classes</t>
  </si>
  <si>
    <t>Lecturer</t>
  </si>
  <si>
    <t>View list of assigned classes for teaching</t>
  </si>
  <si>
    <t>Lecturer account has been assigned to class by Admin</t>
  </si>
  <si>
    <t>Lecturer_View_Class_Students</t>
  </si>
  <si>
    <t>View student list in a specific class</t>
  </si>
  <si>
    <t>The class has students</t>
  </si>
  <si>
    <t>Lecturer_Create_Announcement</t>
  </si>
  <si>
    <t>Create a new Announcement for the class</t>
  </si>
  <si>
    <t>Lecturer account has permissions for that class</t>
  </si>
  <si>
    <t>Lecturer_Assign_Quiz_To_Class</t>
  </si>
  <si>
    <t>Assign a Quiz to students in a class</t>
  </si>
  <si>
    <t>Both Quiz and Class have been created</t>
  </si>
  <si>
    <t>Lecturer_View_Student_Submissions</t>
  </si>
  <si>
    <t>View student submissions list</t>
  </si>
  <si>
    <t>At least one student in the class has submitted the Assignment</t>
  </si>
  <si>
    <t>Lecturer_Respond_Student_Question</t>
  </si>
  <si>
    <t>Answer student's submitted inquiry</t>
  </si>
  <si>
    <t>Student has submitted a question in Case or Quiz</t>
  </si>
  <si>
    <t>Lecturer_Escalate_Question</t>
  </si>
  <si>
    <t>Escalate difficult questions to Expert for processing</t>
  </si>
  <si>
    <t>The question is in the Lecturer's Triage</t>
  </si>
  <si>
    <t>Lecturer_View_Class_Leaderboard</t>
  </si>
  <si>
    <t>View class Quiz score leaderboard</t>
  </si>
  <si>
    <t>The class already has students who completed the Quiz</t>
  </si>
  <si>
    <t>Lecturer_Allow_Student_Retake</t>
  </si>
  <si>
    <t>Allow a student to retake a Quiz</t>
  </si>
  <si>
    <t>Student must have a prior attempt</t>
  </si>
  <si>
    <t>Student_View_Case_Catalog</t>
  </si>
  <si>
    <t>Student</t>
  </si>
  <si>
    <t>View and filter full medical Case Catalog</t>
  </si>
  <si>
    <t>Student account successfully logged in</t>
  </si>
  <si>
    <t>Student_View_Case_Detail</t>
  </si>
  <si>
    <t>View details and images of a medical case</t>
  </si>
  <si>
    <t>The medical case must exist in the system (IsActive=true)</t>
  </si>
  <si>
    <t>Student_Ask_Case_Question</t>
  </si>
  <si>
    <t>Send an inquiry about a content in a medical case</t>
  </si>
  <si>
    <t>Have the corresponding Case ID, Student logs in</t>
  </si>
  <si>
    <t>Student_View_Available_Quizzes</t>
  </si>
  <si>
    <t>View list of assigned quizzes for students</t>
  </si>
  <si>
    <t>Student belongs to the class assigned the Quiz</t>
  </si>
  <si>
    <t>Student_Start_Quiz_Session</t>
  </si>
  <si>
    <t>Start taking a Quiz (create a new Attempt ID)</t>
  </si>
  <si>
    <t>Quiz is not completed or is allowed to be retaken</t>
  </si>
  <si>
    <t>Student_Submit_Quiz_Answer</t>
  </si>
  <si>
    <t>Submit answer for a specific question while taking the quiz</t>
  </si>
  <si>
    <t>The Quiz Attempt is still open</t>
  </si>
  <si>
    <t>Student_Generate_Practice_Quiz</t>
  </si>
  <si>
    <t>Request AI to generate a practice Quiz by topic</t>
  </si>
  <si>
    <t>Valid topic keyword, valid question limit</t>
  </si>
  <si>
    <t>Student_View_Progress_Summary</t>
  </si>
  <si>
    <t>View own learning progress and average score</t>
  </si>
  <si>
    <t>Student account has quiz attempt/activity history</t>
  </si>
  <si>
    <t>Student_Ask_AI_MedicalCase</t>
  </si>
  <si>
    <t xml:space="preserve">Q&amp;A with AI about medical cases for medical study </t>
  </si>
  <si>
    <t>The question is within the medical field</t>
  </si>
  <si>
    <t>TEST STATISTICS</t>
  </si>
  <si>
    <t xml:space="preserve">BoneVisQA </t>
  </si>
  <si>
    <t>Reviewer/Approver</t>
  </si>
  <si>
    <t>All team members</t>
  </si>
  <si>
    <t>SP26SE110_Test Report_vx.x</t>
  </si>
  <si>
    <t>April 14th, 2026</t>
  </si>
  <si>
    <t>Notes</t>
  </si>
  <si>
    <t>Module code</t>
  </si>
  <si>
    <t>Passed</t>
  </si>
  <si>
    <t>Failed</t>
  </si>
  <si>
    <t>Pending</t>
  </si>
  <si>
    <t>N/A</t>
  </si>
  <si>
    <t>Number of  test cases</t>
  </si>
  <si>
    <t>Authentication &amp; Verification</t>
  </si>
  <si>
    <t>Admin User Management</t>
  </si>
  <si>
    <t>Admin Document &amp; RAG</t>
  </si>
  <si>
    <t>Expert Case ManagementSub total</t>
  </si>
  <si>
    <t>Expert Quiz Management</t>
  </si>
  <si>
    <t>Lecturer Class Management</t>
  </si>
  <si>
    <t>Lecturer Triage &amp; Review</t>
  </si>
  <si>
    <t>Student Case Catalog</t>
  </si>
  <si>
    <t>Student Quiz Execution</t>
  </si>
  <si>
    <t>Q&amp;A AI Medical Case</t>
  </si>
  <si>
    <t>Analytics &amp; Monitoring Dashboard</t>
  </si>
  <si>
    <t>Sub total</t>
  </si>
  <si>
    <t>Test coverage</t>
  </si>
  <si>
    <t>%</t>
  </si>
  <si>
    <t>Test successful coverage</t>
  </si>
  <si>
    <t>Feature</t>
  </si>
  <si>
    <t>Admin's Function in the system</t>
  </si>
  <si>
    <t>Test requirement</t>
  </si>
  <si>
    <t>Ensure that all roles can log in successfully, medical students can submit identity verification requests, administrators can lock/unlock accounts and assign user roles, and the system supports secure PDF uploads with stable document indexing functionality.</t>
  </si>
  <si>
    <t>Number of TCs</t>
  </si>
  <si>
    <t>Testing Round</t>
  </si>
  <si>
    <t>Round 1</t>
  </si>
  <si>
    <t>Round 2</t>
  </si>
  <si>
    <t>Round 3</t>
  </si>
  <si>
    <t>Test Case ID</t>
  </si>
  <si>
    <t>Test Case Description</t>
  </si>
  <si>
    <t>Test Case Procedure</t>
  </si>
  <si>
    <t>Expected Results</t>
  </si>
  <si>
    <t>Pre-conditions</t>
  </si>
  <si>
    <t>Test date</t>
  </si>
  <si>
    <t>Tester</t>
  </si>
  <si>
    <t>Note</t>
  </si>
  <si>
    <t>TC01-AUTH</t>
  </si>
  <si>
    <t>Successfully logged in with valid account</t>
  </si>
  <si>
    <t>1. Access the Login screen.
2. Enter valid Email and Password.
3. Click the "Login" button.</t>
  </si>
  <si>
    <t>1. Successfully logged in without errors.
2. Correctly redirected to the homepage of the corresponding Role.
3. JWT Token is securely stored.</t>
  </si>
  <si>
    <t xml:space="preserve">1. Currently on the Login page.
2. User has an Active account.
</t>
  </si>
  <si>
    <t>14/04/2026</t>
  </si>
  <si>
    <t>Thinh</t>
  </si>
  <si>
    <t>15/04/2026</t>
  </si>
  <si>
    <t>Tien</t>
  </si>
  <si>
    <t>TC01-AUTH-U1</t>
  </si>
  <si>
    <t>Log in with incorrect password (Unhappy)</t>
  </si>
  <si>
    <t>1. Access the Login screen.
2. Enter valid Email but incorrect Password.
3. Click the "Login" button.</t>
  </si>
  <si>
    <t>1. Access denied.
2. System displays error message: "Invalid email or password".
3. Remains on the Login page.</t>
  </si>
  <si>
    <t>1. Currently on the Login page.
2. Account exists in the system.</t>
  </si>
  <si>
    <t>TC01-AUTH-U2</t>
  </si>
  <si>
    <t>Log in with inactive/locked account (Unhappy)</t>
  </si>
  <si>
    <t>1. Access the Login screen.
2. Enter email and password of a locked/inactive account.
3. Click the "Login" button.</t>
  </si>
  <si>
    <t>1. Access denied.
2. System displays error: "Your account has been locked. Please contact administrator".</t>
  </si>
  <si>
    <t>1. Currently on the Login page.
2. Account status is set to Inactive.</t>
  </si>
  <si>
    <t>TC02-AUTH</t>
  </si>
  <si>
    <t>Student submits medical verification request</t>
  </si>
  <si>
    <t>1. Log in with a Student account.
2. Go to Profile -&gt; Verification.
3. Upload student ID card and enter information.
4. Click "Submit".</t>
  </si>
  <si>
    <t>1. File uploaded successfully.
2. Verification status changes to "Pending".
3. Success message is displayed.</t>
  </si>
  <si>
    <t>1. Logged in as Student.
2. The account is not verified yet.</t>
  </si>
  <si>
    <t>TC02-AUTH-U1</t>
  </si>
  <si>
    <t>Submit student verification with invalid file format (Unhappy)</t>
  </si>
  <si>
    <t>1. Log in as Student.
2. Go to Profile -&gt; Verification.
3. Upload a file with .zip or .exe extension.
4. Observe system behavior.</t>
  </si>
  <si>
    <t>1. FE blocks the file upload.
2. Validation error displayed: "Only image files (JPG, PNG) or PDF are allowed".
3. Submit button is disabled.</t>
  </si>
  <si>
    <t>1. Logged in as Student.
2. Account is not verified.</t>
  </si>
  <si>
    <t>TC02-AUTH-U2</t>
  </si>
  <si>
    <t>Submit student verification with missing required fields (Unhappy)</t>
  </si>
  <si>
    <t>1. Log in as Student.
2. Go to Profile -&gt; Verification.
3. Upload a valid SV card image but leave Student ID number and School Name blank.
4. Click "Submit".</t>
  </si>
  <si>
    <t>1. Validation error is triggered on required fields.
2. Highlights missing fields in red.
3. Form is not submitted to server.</t>
  </si>
  <si>
    <t>TC07-ADM</t>
  </si>
  <si>
    <t>Get list of all users with pagination (Happy)</t>
  </si>
  <si>
    <t>1. Go to Admin User Management.
2. Verify the list displays users.
3. Click "Page 2" on pagination bar.</t>
  </si>
  <si>
    <t>1. User list loaded successfully.
2. Displays exactly 10 users per page.
3. Page 2 loads the next set of users correctly.</t>
  </si>
  <si>
    <t>1. Log in as Admin.
2. More than 10 users exist in the system.</t>
  </si>
  <si>
    <t>TC03-ADM</t>
  </si>
  <si>
    <t>Change state to Inactive (Lock)</t>
  </si>
  <si>
    <t>1. Access Admin User Management.
2. Select an Active user.
3. Click "Deactivate" and confirm.</t>
  </si>
  <si>
    <t>1. User status changes to Inactive.
2. Success popup is displayed.
3. User is kicked out (token revoked) if online.</t>
  </si>
  <si>
    <t>1. Log in as Admin.
2. There exists an Active user.</t>
  </si>
  <si>
    <t>TC03-ADM-U1</t>
  </si>
  <si>
    <t>Deactivate an already inactive user (Unhappy)</t>
  </si>
  <si>
    <t>1. Access Admin User Management.
2. Filter by Inactive status.
3. Select an inactive user.
4. Observe if "Deactivate" action is disabled.</t>
  </si>
  <si>
    <t>1. The "Deactivate" button is disabled or grayed out for already inactive users.</t>
  </si>
  <si>
    <t>1. Log in as Admin.
2. There exists an Inactive user.</t>
  </si>
  <si>
    <t>TC04-ADM</t>
  </si>
  <si>
    <t>Assign Lecturer Role to a User</t>
  </si>
  <si>
    <t>1. Access Admin User Management.
2. Select a regular user.
3. Click Assign Role -&gt; Select "Lecturer".
4. Confirm.</t>
  </si>
  <si>
    <t>1. User's role is updated to Lecturer.
2. The Role column on the grid changes accordingly.</t>
  </si>
  <si>
    <t>1. Log in as Admin.
2. There exists a user without a module Role.</t>
  </si>
  <si>
    <t>TC04-ADM-U1</t>
  </si>
  <si>
    <t>Assign conflicting or system-restricted roles (Unhappy)</t>
  </si>
  <si>
    <t>1. Access Admin User Management.
2. Select the only remaining Admin account.
3. Try to change its role to Student or Deactivate it.
4. Confirm.</t>
  </si>
  <si>
    <t>1. System blocks the action.
2. Displays error: "Cannot deactivate or demote the last Administrator account".</t>
  </si>
  <si>
    <t>1. Log in as Admin.
2. Only one active Administrator account exists in the system.</t>
  </si>
  <si>
    <t>TC08-ADM</t>
  </si>
  <si>
    <t>Approve verification profile of medical student (Happy)</t>
  </si>
  <si>
    <t>1. Go to Profile Verification list.
2. Click "View details" of a student in Pending status.
3. Click "Approve" and confirm.</t>
  </si>
  <si>
    <t>1. Student's status changes from "Pending" to "Verified".
2. Status on roster updates.
3. Student receives email/notification of successful verification.</t>
  </si>
  <si>
    <t>1. Log in as Admin.
2. There exists a student with a pending verification request.</t>
  </si>
  <si>
    <t>TC09-ADM</t>
  </si>
  <si>
    <t>Create a new Class in the system (Happy)</t>
  </si>
  <si>
    <t>1. Go to Class Management.
2. Click "Create Class" button.
3. Enter Class Name, Description, and select Academic Year.
4. Click "Save".</t>
  </si>
  <si>
    <t>1. New class is created successfully.
2. Redirects to class list.
3. The new class appears in the class grid.</t>
  </si>
  <si>
    <t>1. Log in as Admin.</t>
  </si>
  <si>
    <t>TC10-ADM</t>
  </si>
  <si>
    <t>Assign Lecturer, Expert, Student to a class (Happy)</t>
  </si>
  <si>
    <t>1. Go to Class details screen.
2. Click "Assign User" button.
3. Select a Lecturer and an Expert to assign.
4. Click "Save".</t>
  </si>
  <si>
    <t>1. Users assigned successfully.
2. Displays success message.
3. Roster shows the assigned Lecturer and Expert with correct details.</t>
  </si>
  <si>
    <t>1. Log in as Admin.
2. The class and respective users exist in the system.</t>
  </si>
  <si>
    <t>TC05-DOC</t>
  </si>
  <si>
    <t>Upload a valid 10MB PDF file</t>
  </si>
  <si>
    <t>1. Go to Admin Document.
2. Bấm Upload file.
3. Chọn file PDF 10MB, nhập Title, Category.
4. Bấm "Upload".</t>
  </si>
  <si>
    <t>1. File upload thành công.
2. Trạng thái Ingestion chuyển thành "Processing" sau đó "Completed".</t>
  </si>
  <si>
    <t>1. Đăng nhập Role Admin.
2. Có sẵn file PDF 10MB.</t>
  </si>
  <si>
    <t>TC05-DOC-U1</t>
  </si>
  <si>
    <t>Upload PDF file exceeding size limit (Unhappy)</t>
  </si>
  <si>
    <t>1. Go to Admin Document.
2. Click Upload file.
3. Select a PDF file larger than 10MB (e.g. 50MB), enter Title, Category.
4. Click "Upload".</t>
  </si>
  <si>
    <t>1. FE blocks the file selection or shows validation error immediately.
2. Displays error: "File size exceeds maximum limit of 10MB".
3. Upload is aborted.</t>
  </si>
  <si>
    <t>1. Log in as Admin.
2. A 50MB PDF file is available.</t>
  </si>
  <si>
    <t>TC05-DOC-U2</t>
  </si>
  <si>
    <t>Upload a corrupted PDF file (Unhappy)</t>
  </si>
  <si>
    <t>1. Go to Admin Document.
2. Click Upload file.
3. Select a corrupted PDF file (0 bytes or damaged header).
4. Click "Upload".</t>
  </si>
  <si>
    <t>1. Upload succeeds but ingestion process fails.
2. Document Status changes to "Failed".
3. Displays error description: "Corrupted PDF or unreadable text".</t>
  </si>
  <si>
    <t>1. Log in as Admin.
2. A corrupted PDF file is available.</t>
  </si>
  <si>
    <t>TC06-DOC</t>
  </si>
  <si>
    <t>Attempt to upload an invalid format file</t>
  </si>
  <si>
    <t>1. Vào Admin Document.
2. Bấm Upload file.
3. Chọn file có đuôi .docx hoặc .exe.
4. Quan sát hệ thống.</t>
  </si>
  <si>
    <t>1. Hệ thống chặn upload ngay từ FE.
2. Báo lỗi "Only PDF files are allowed".
3. Nút Upload bị disable.</t>
  </si>
  <si>
    <t>1. Đăng nhập Role Admin.
2. Có file sai định dạng.</t>
  </si>
  <si>
    <t>Expert's Function in the system</t>
  </si>
  <si>
    <t>Ensure that experts can create medical cases with accurate annotations and generate quiz question sets with configurable assessment settings.</t>
  </si>
  <si>
    <t>Expert Case Management</t>
  </si>
  <si>
    <t>TC12-EXP</t>
  </si>
  <si>
    <t>Create a new medical case with images (Happy)</t>
  </si>
  <si>
    <t>1. Go to Medical Cases Library.
2. Click "Create Case".
3. Enter Title, Description, Difficulty, and select bone category.
4. Click "Save".</t>
  </si>
  <si>
    <t>1. Case created successfully with status "Active".
2. Redirects to Case details page.
3. Appears in Case Catalog.</t>
  </si>
  <si>
    <t>1. Log in as Expert.</t>
  </si>
  <si>
    <t>TC07-EXP-U1</t>
  </si>
  <si>
    <t>Create a new medical case with missing required text fields (Unhappy)</t>
  </si>
  <si>
    <t>1. Go to Medical Cases Library.
2. Click "Create Case".
3. Leave Case Title and Diagnosis empty.
4. Click "Save".</t>
  </si>
  <si>
    <t>1. Form validation error occurs.
2. Highlights missing fields.
3. Case is not saved.</t>
  </si>
  <si>
    <t>TC08-EXP</t>
  </si>
  <si>
    <t>Add image to medical case</t>
  </si>
  <si>
    <t>1. Nhấn vào Hình ảnh trong Case.
2. Chọn add image.
3. Upload ảnh lên ca bệnh và chọn loại ảnh vừa up lên.
4. Lưu ảnh</t>
  </si>
  <si>
    <t>1. Vùng ảnh được upload thành công.
2. Hiển thị danh sách ảnh mới phía dưới ca bệnh
3. Sinh viên xem được ảnh này .</t>
  </si>
  <si>
    <t>1. Đăng nhập Role Expert.
2. Đang ở màn hình chi tiết một Case tồn tại.</t>
  </si>
  <si>
    <t>15/04/2027</t>
  </si>
  <si>
    <t>TC08-EXP-U1</t>
  </si>
  <si>
    <t>Upload invalid file format as case image (Unhappy)</t>
  </si>
  <si>
    <t>1. Open Case details.
2. Click "Add Image".
3. Upload a file with .xlsx or .txt extension.
4. Observe system behavior.</t>
  </si>
  <si>
    <t>1. FE blocks the file selection.
2. Error message displayed: "Only image files (JPG, PNG, DICOM) are allowed".
3. File is not uploaded.</t>
  </si>
  <si>
    <t>1. Log in as Expert.
2. On case details page.</t>
  </si>
  <si>
    <t>TC09-EXP</t>
  </si>
  <si>
    <t>Add drawing Annotation to image</t>
  </si>
  <si>
    <t>1. Nhấn vào Hình ảnh trong Case.
2. Chọn công cụ "Draw" (Vẽ).
3. Chọn vùng tổn thương trên ảnh và nhập Text.
4. Lưu Annotation.</t>
  </si>
  <si>
    <t>1. Vùng vẽ và text được lưu thành công.
2. Hiển thị danh sách Annotation mới phía dưới ảnh.
3. Sinh viên xem được Annotation này .</t>
  </si>
  <si>
    <t>1. Đăng nhập Role Expert.
2. Đang ở màn hình chi tiết một Case có ảnh.</t>
  </si>
  <si>
    <t>15/04/2028</t>
  </si>
  <si>
    <t>TC09-EXP-U1</t>
  </si>
  <si>
    <t>Save image annotation with negative or invalid coordinates (Unhappy)</t>
  </si>
  <si>
    <t>1. Open Draw Annotation tool.
2. Attempt to select a region outside the image canvas boundary.
3. Click "Save".</t>
  </si>
  <si>
    <t>1. System restricts drawing outside bounds, or displays error: "Annotation coordinates must be within image bounds".
2. Annotation not saved.</t>
  </si>
  <si>
    <t>1. Log in as Expert.
2. On details of a case with images.</t>
  </si>
  <si>
    <t>TC07-EXP</t>
  </si>
  <si>
    <t>1. Truy cập màn hình Login.
2. Nhập Email và Password hợp lệ.
3. Click nút "Login".</t>
  </si>
  <si>
    <t>1. Đăng nhập thành công không lỗi.
2. Điều đúng tới trang chủ của Role tương ứng.
3. JWT Token được lưu an toàn.</t>
  </si>
  <si>
    <t>1. Đang ở trang Login.
2. Người dùng có tài khoản đang Active.</t>
  </si>
  <si>
    <t>TC10-QUIZ</t>
  </si>
  <si>
    <t>Initialize specialized Quiz form</t>
  </si>
  <si>
    <t>1. Vào Expert Quizzes -&gt; Create Quiz.
2. Nhập Title, Time limit (phút), Passing score (%).
3. Cài đặt Open/Close time (tùy chọn) và Bấm Save.</t>
  </si>
  <si>
    <t>1. Quiz được tạo mới với trạng thái "Draft" khi chưa đến open time.
2. Chuyển hướng sang giao diện Editor để thêm câu hỏi</t>
  </si>
  <si>
    <t>1. Đăng nhập Role Expert.</t>
  </si>
  <si>
    <t>TC10-QUIZ-U1</t>
  </si>
  <si>
    <t>Create Quiz with negative duration or invalid passing score (Unhappy)</t>
  </si>
  <si>
    <t>1. Go to Create Quiz.
2. Enter Duration as -15 or Passing Score as 120.
3. Click "Save".</t>
  </si>
  <si>
    <t>1. Form validation error occurs.
2. Displays errors: "Duration must be greater than 0" and "Passing score must be between 0% and 100%".
3. Quiz not created.</t>
  </si>
  <si>
    <t>TC11-QUIZ</t>
  </si>
  <si>
    <t>Add multiple-choice question to Quiz</t>
  </si>
  <si>
    <t>1. Trong Quiz Edit, bấm "Add Question".
2. Nhập nội dung câu hỏi, đáp án (A, B, C, D) và chọn "Correct Answer".
3. Bấm "Add Question".</t>
  </si>
  <si>
    <t>1. Câu hỏi được thêm vào danh sách cấu trúc quiz thành công.
2. Tổng điểm/Số lượng câu hỏi trong header Quiz cập nhật đúng.</t>
  </si>
  <si>
    <t>1. Đăng nhập Role Expert.
2. Đang ở trong giao diện Quiz Edit của 1 Quiz</t>
  </si>
  <si>
    <t>TC11-QUIZ-U1</t>
  </si>
  <si>
    <t>Add question to Quiz with no correct answer selected (Unhappy)</t>
  </si>
  <si>
    <t>1. In Quiz Editor, click "Add Question".
2. Enter question text and 4 choices but do not mark any as the correct answer.
3. Click "Add Question".</t>
  </si>
  <si>
    <t>1. Form validation fails.
2. Displays error: "Please select a correct answer".
3. Question is not added.</t>
  </si>
  <si>
    <t>1. Log in as Expert.
2. In Quiz Edit interface.</t>
  </si>
  <si>
    <t>TC11-QUIZ-U2</t>
  </si>
  <si>
    <t>Add duplicate question to the same Quiz (Unhappy)</t>
  </si>
  <si>
    <t>1. In Quiz Editor, enter a question text and choices identical to an existing question in that quiz.
2. Click "Add Question".</t>
  </si>
  <si>
    <t>1. System rejects the question or displays warning: "Duplicate question detected in this quiz".
2. Question not added.</t>
  </si>
  <si>
    <t>Expert Review &amp; Escalation</t>
  </si>
  <si>
    <t>TC13-EXP</t>
  </si>
  <si>
    <t>View Expert overview statistics on Dashboard (Happy)</t>
  </si>
  <si>
    <t>1. Log in as Expert.
2. Navigate to Dashboard.
3. Check the displayed statistics: Total Cases, Pending Reviews, Active Quizzes.</t>
  </si>
  <si>
    <t>1. Dashboard loads successfully.
2. Metrics match actual database records.
3. Summary charts render correctly without errors.</t>
  </si>
  <si>
    <t>1. Log in as Expert.
2. Expert account has activity history.</t>
  </si>
  <si>
    <t>TC14-EXP</t>
  </si>
  <si>
    <t>View list of answers escalated by Lecturer (Happy)</t>
  </si>
  <si>
    <t>1. Log in as Expert.
2. Go to Escalations list.
3. Verify that student questions escalated by Lecturers are visible.</t>
  </si>
  <si>
    <t>1. Escalation list loads successfully.
2. Displays complete info: Student question, Lecturer reason, Case reference, and date.</t>
  </si>
  <si>
    <t>1. Log in as Expert.
2. An escalated question exists in the system.</t>
  </si>
  <si>
    <t>TC15-EXP</t>
  </si>
  <si>
    <t>Resolve and respond to escalated answers (Happy)</t>
  </si>
  <si>
    <t>1. Open a pending escalated question.
2. Enter the expert response in the editor.
3. Click "Resolve".</t>
  </si>
  <si>
    <t>1. Response is successfully saved.
2. Question status changes to "Resolved".
3. Notification sent to student and assigned Lecturer.</t>
  </si>
  <si>
    <t>1. Log in as Expert.
2. An escalated question is selected.</t>
  </si>
  <si>
    <t>Lecturer's Function in the system</t>
  </si>
  <si>
    <t>Ensure that lecturers can view assigned class lists, post announcements for students, respond directly to student inquiries or escalate them to experts, and access dashboards displaying accurate statistics on user performance, scores, and rankings.</t>
  </si>
  <si>
    <t>TC12-LEC</t>
  </si>
  <si>
    <t>View assigned classes list</t>
  </si>
  <si>
    <t>1. Đăng nhập với tài khoản Lecturer.
2. Chuyển đến trang "Class Management".
3. Kiểm tra danh sách hiển thị.</t>
  </si>
  <si>
    <t>1. Hiển thị đúng các lớp học mà Admin đã gán cho Lecturer này.
2. Hiển thị đủ thông tin: Tên lớp, sĩ số.</t>
  </si>
  <si>
    <t>1. Đăng nhập Role Lecturer.
2. Đã được Admin gán vào ít nhất 1 lớp.</t>
  </si>
  <si>
    <t>16/04/2026</t>
  </si>
  <si>
    <t>TC18-LEC</t>
  </si>
  <si>
    <t>View student list in a specific class (Happy)</t>
  </si>
  <si>
    <t>1. Open Class Management.
2. Select a specific class.
3. Click on the "Students" tab.</t>
  </si>
  <si>
    <t>1. Student roster loads successfully.
2. Displays complete student information: Name, student ID, verification status, and email.</t>
  </si>
  <si>
    <t>1. Log in as Lecturer.
2. The class has students enrolled.</t>
  </si>
  <si>
    <t>TC13-LEC</t>
  </si>
  <si>
    <t>Post a new announcement for class students</t>
  </si>
  <si>
    <t>1. Chọn một lớp học cụ thể.
2. Chọn tab "Announcements" -&gt; "Create".
3. Nhập Tiêu đề và Nội dung.
4. Nhấn "Send".</t>
  </si>
  <si>
    <t>1. Thông báo được lưu và hiển thị trong danh sách của lớp.
2. Sinh viên trong lớp sẽ nhận được thông báo này trên bảng tin.</t>
  </si>
  <si>
    <t>1. Đăng nhập Role Lecturer.
2. Đang ở trang chi tiết lớp học.</t>
  </si>
  <si>
    <t>16/04/2027</t>
  </si>
  <si>
    <t>TC13-LEC-U1</t>
  </si>
  <si>
    <t>Post an empty announcement (Unhappy)</t>
  </si>
  <si>
    <t>1. Select a class.
2. Go to Announcements -&gt; Create.
3. Leave Title and Content blank.
4. Click "Send".</t>
  </si>
  <si>
    <t>1. Form validation error occurs.
2. Error message displayed: "Title and Content cannot be empty".
3. Announcement is not sent.</t>
  </si>
  <si>
    <t>1. Log in as Lecturer.
2. On class details page.</t>
  </si>
  <si>
    <t>TC19-LEC</t>
  </si>
  <si>
    <t>Assign a Quiz to students in a class (Happy)</t>
  </si>
  <si>
    <t>1. Go to Class details.
2. Click "Assign Quiz".
3. Select a Quiz from dropdown, set Open Time and Close Time.
4. Click "Assign".</t>
  </si>
  <si>
    <t>1. Quiz successfully assigned to class.
2. Status changes to "Assigned".
3. Students in the class receive notifications and can see the quiz in their To Do list.</t>
  </si>
  <si>
    <t>1. Log in as Lecturer.
2. Class and Quiz are created.</t>
  </si>
  <si>
    <t>TC13-LEC-U2</t>
  </si>
  <si>
    <t>Assign a Quiz with Close Time before Open Time (Unhappy)</t>
  </si>
  <si>
    <t>1. Go to Class details -&gt; Assign Quiz.
2. Select a quiz.
3. Set Open Time to tomorrow and Close Time to yesterday.
4. Click "Assign".</t>
  </si>
  <si>
    <t>1. Form validation fails.
2. Error message displayed: "Close Time must be after Open Time".
3. Assignment is blocked.</t>
  </si>
  <si>
    <t>1. Log in as Lecturer.
2. Class and Quiz exist.</t>
  </si>
  <si>
    <t>TC14-LEC</t>
  </si>
  <si>
    <t>Answer student's question directly</t>
  </si>
  <si>
    <t>1. Truy cập Triage / Q&amp;A Dashboard.
2. Mở một câu hỏi của sinh viên (thuộc lớp đang dạy).
3. Nhập câu trả lời vào ô Text box.
4. Nhấn "Reply".</t>
  </si>
  <si>
    <t>1. Câu trả lời được lưu lại.
2. Trạng thái câu hỏi đổi thành "Answered" hoặc "Resolved".
3. Sinh viên xem được câu trả lời.</t>
  </si>
  <si>
    <t>1. Đăng nhập Role Lecturer.
2. Có câu hỏi chưa được giải quyết.</t>
  </si>
  <si>
    <t>TC14-LEC-U1</t>
  </si>
  <si>
    <t>Reply to an already resolved question (Unhappy)</t>
  </si>
  <si>
    <t>1. Go to Triage Dashboard.
2. Open a resolved/closed question.
3. Verify if reply box is disabled.</t>
  </si>
  <si>
    <t>1. Reply textbox and "Reply" button are disabled/hidden for resolved questions.
2. Prevents sending further answers.</t>
  </si>
  <si>
    <t>1. Log in as Lecturer.
2. A resolved question exists in the triage.</t>
  </si>
  <si>
    <t>TC15-LEC</t>
  </si>
  <si>
    <t>Escalate difficult questions to Expert</t>
  </si>
  <si>
    <t>1. Truy cập Triage / Q&amp;A Dashboard.
2. Mở một câu hỏi khó của sinh viên.
3. Nhấn nút bóp "Escalate to Expert".
4. Nhập lý do (tùy chọn) và Xác nhận.</t>
  </si>
  <si>
    <t>1. Trạng thái câu hỏi đổi thành "Escalated".
2. Câu hỏi biến mất khỏi hàng chờ của Lecturer và chuyển tới Expert Dashboard.</t>
  </si>
  <si>
    <t>1. Đăng nhập Role Lecturer.
2. Có sinh viên vừa gửi câu hỏi.</t>
  </si>
  <si>
    <t>TC15-LEC-U1</t>
  </si>
  <si>
    <t>Escalate a question that is already escalated (Unhappy)</t>
  </si>
  <si>
    <t>1. Go to Triage Dashboard.
2. Open an escalated question.
3. Observe the "Escalate to Expert" button.</t>
  </si>
  <si>
    <t>1. The "Escalate to Expert" button is disabled or hidden for already escalated questions.</t>
  </si>
  <si>
    <t>1. Log in as Lecturer.
2. An escalated question exists in the system.</t>
  </si>
  <si>
    <t>TC20-LEC</t>
  </si>
  <si>
    <t>View student submissions list (Happy)</t>
  </si>
  <si>
    <t>1. Go to Class details.
2. Click "Quiz Submissions" tab.
3. Check the displayed submissions grid.</t>
  </si>
  <si>
    <t>1. Submissions list loads successfully.
2. Displays complete info: Student Name, Quiz Name, Attempt date, Duration, and Score.</t>
  </si>
  <si>
    <t>1. Log in as Lecturer.
2. A student in the class has submitted a quiz.</t>
  </si>
  <si>
    <t>TC16-ANA</t>
  </si>
  <si>
    <t>View Student Leaderboard</t>
  </si>
  <si>
    <t>1. Đăng nhập Lecturer, vào Dashboard.
2. Chọn một Lớp học.
3. Tại phần "Class Leaderboard", kiểm tra dữ liệu hiển thị.</t>
  </si>
  <si>
    <t>1. Danh sách sinh viên được xếp hạng từ điểm Cao xuống Thấp.
2. Các điểm số trùng khớp với lịch sử nộp bài Quiz của lớp.</t>
  </si>
  <si>
    <t>1. Lớp học đã có dữ liệu sinh viên hoàn thành Quiz.
2. Đăng nhập Lecturer.</t>
  </si>
  <si>
    <t>TC16-ANA-U1</t>
  </si>
  <si>
    <t>View Class Leaderboard when no students have completed any quizzes (Unhappy)</t>
  </si>
  <si>
    <t>1. Log in as Lecturer, go to Dashboard.
2. Select a newly created class with no quiz attempts yet.
3. Check "Class Leaderboard" section.</t>
  </si>
  <si>
    <t>1. System handles empty state gracefully.
2. Displays "No student submissions yet" or placeholder graphic.
3. Dashboard does not crash.</t>
  </si>
  <si>
    <t>1. Log in as Lecturer.
2. Selected class has zero quiz submissions.</t>
  </si>
  <si>
    <t>TC17-ANA</t>
  </si>
  <si>
    <t>View student learning progress summary</t>
  </si>
  <si>
    <t>1. Đăng nhập Student, qua trang "My Progress".
2. Kiểm tra các số liệu: Topic Stats, Total Attempts, Average Score.</t>
  </si>
  <si>
    <t>1. Biểu đồ Topic Stats rải đều theo các chuyên đề sinh viên đã làm đúng/sai.
2. Average Score tính chính xác bình quân điểm các lần thi.</t>
  </si>
  <si>
    <t>1. Đăng nhập Role Student.
2. Sinh viên đã thực hiện nhiều bài Quiz có lưu lịch sử.</t>
  </si>
  <si>
    <t>TC17-ANA-U1</t>
  </si>
  <si>
    <t>View progress summary for a student with no activity history (Unhappy)</t>
  </si>
  <si>
    <t>1. Log in as a newly created Student account.
2. Navigate to "My Progress" page.
3. Check metrics and charts.</t>
  </si>
  <si>
    <t>1. Page loads successfully with all metrics showing 0 or "N/A".
2. Displays message: "No quiz activity recorded yet. Take a quiz to track your progress!".
3. No charts errors occur.</t>
  </si>
  <si>
    <t>1. Log in as Student.
2. Student has zero quiz attempt records.</t>
  </si>
  <si>
    <t>Student's Function in the system</t>
  </si>
  <si>
    <t xml:space="preserve">Ensure that students can browse and filter medical case libraries, start quizzes and submit answers for grading, and chat or upload annotated images to ask AI-related questions about medical cases.
</t>
  </si>
  <si>
    <t>TC18-STU</t>
  </si>
  <si>
    <t>Filter list of cases by specialty or bone diseases</t>
  </si>
  <si>
    <t>1. Truy cập Medical Cases Library.
2. Sử dụng bộ lọc (Filter) "Difficulty".
3. Chọn mức độ "Easy", " Medium",  "Hard" và Apply.</t>
  </si>
  <si>
    <t>1. Danh sách chỉ hiển thị các ca bệnh .
2. Sinh viên có thể xem các hình ảnh và annotation của ca bênh đó.</t>
  </si>
  <si>
    <t>1. Đăng nhập Role Student.
2. Hệ thống có dữ liệu ca bệnh với các độ khó khác nhau.</t>
  </si>
  <si>
    <t>17/04/2026</t>
  </si>
  <si>
    <t>TC23-STU</t>
  </si>
  <si>
    <t>View details and images of a medical case (Happy)</t>
  </si>
  <si>
    <t>1. Go to Medical Cases Library.
2. Click "View details" of an active case.</t>
  </si>
  <si>
    <t>1. Detailed case screen loads successfully.
2. Displays complete text info, multiple bone scans, and annotations.</t>
  </si>
  <si>
    <t>1. Logged in as Student.
2. Case exists in system (IsActive=true).</t>
  </si>
  <si>
    <t>TC18-STU-U1</t>
  </si>
  <si>
    <t>Access details of an inactive or non-existent medical case ID (Unhappy)</t>
  </si>
  <si>
    <t>1. Student manually edits browser URL to access a non-existent case (e.g. /cases/99999).
2. Observe page output.</t>
  </si>
  <si>
    <t>1. System shows a graceful "Case not found" message.
2. Prompts user to return to Medical Cases Library.
3. Application does not crash.</t>
  </si>
  <si>
    <t>1. Logged in as Student.</t>
  </si>
  <si>
    <t>TC18-STU-U2</t>
  </si>
  <si>
    <t>Search medical case with extreme characters or injection strings (Unhappy)</t>
  </si>
  <si>
    <t>1. Go to Medical Cases Library.
2. In search box, enter SQL strings or special characters like "' OR 1=1 --".
3. Click "Search".</t>
  </si>
  <si>
    <t>1. System sanitizes input safely.
2. Search executes without errors.
3. Displays "No cases matching your search" status.</t>
  </si>
  <si>
    <t>TC25-STU</t>
  </si>
  <si>
    <t>View list of assigned quizzes for students (Happy)</t>
  </si>
  <si>
    <t>1. Go to My Quizzes page.
2. Verify the quizzes list displays assigned quizzes.</t>
  </si>
  <si>
    <t>1. Quizzes list loaded successfully.
2. Displays details: Quiz name, assigned date, time limit, status (To Do / Completed).</t>
  </si>
  <si>
    <t>1. Logged in as Student.
2. Student is in a class assigned a Quiz.</t>
  </si>
  <si>
    <t>TC20-STU</t>
  </si>
  <si>
    <t>Start taking an assigned Quiz</t>
  </si>
  <si>
    <t>1. Truy cập My Assignments / Quizzes.
2. Chọn một Quiz "To Do" (Chưa làm).
3. Bấm nút "Start Quiz".</t>
  </si>
  <si>
    <t>1. Vào giao diện làm bài (Quiz Session).
2. Đồng hồ đếm ngược (Timer) bắt đầu chạy.
3. Load danh sách câu hỏi.</t>
  </si>
  <si>
    <t>1. Đăng nhập Role Student.
2. Có bài Quiz đang trong thời hạn mở (Open Time).</t>
  </si>
  <si>
    <t>TC20-STU-U1</t>
  </si>
  <si>
    <t>Attempt to start a quiz after its Close Time has passed (Unhappy)</t>
  </si>
  <si>
    <t>1. Go to Assignments list.
2. Select a quiz whose Close Time has passed.
3. Try to click "Start Quiz".</t>
  </si>
  <si>
    <t>1. The "Start Quiz" button is disabled or greyed out.
2. Status is shown as "Closed".
3. Attempt cannot be created.</t>
  </si>
  <si>
    <t>1. Logged in as Student.
2. Quiz Close Time has expired.</t>
  </si>
  <si>
    <t>TC20-STU-U2</t>
  </si>
  <si>
    <t>Start quiz when another attempt session is already in progress (Unhappy)</t>
  </si>
  <si>
    <t>1. Start Quiz in Browser Tab A.
2. Open Browser Tab B, navigate to Assignments and click "Start Quiz" on the same quiz again.</t>
  </si>
  <si>
    <t>1. System blocks secondary attempt.
2. Displays warning: "You have an active quiz session in progress. Please complete it first."
3. Redirects to Tab A active session.</t>
  </si>
  <si>
    <t>1. Logged in as Student.
2. A quiz session is currently running.</t>
  </si>
  <si>
    <t>TC21-STU</t>
  </si>
  <si>
    <t>Submit the entire Quiz when finished</t>
  </si>
  <si>
    <t>1. Trong lúc làm Quiz, tick chọn đáp án cho câu hỏi cuối cùng.
2. Bấm nút "Submit Quiz".
3. Bấm xác nhận ở Popup.</t>
  </si>
  <si>
    <t>1. Session làm bài đóng lại, Timer dừng.
2. Hệ thống chấm điểm tự động.
3. Hiển thị Trang kết quả (Điểm, Pass/Fail).</t>
  </si>
  <si>
    <t>1. Đăng nhập Role Student.
2. Đang ở trong giao diện làm bài (Quiz Session) đang mở.</t>
  </si>
  <si>
    <t>TC21-STU-U1</t>
  </si>
  <si>
    <t>Submit answer after the quiz timer reaches 0 (Unhappy)</t>
  </si>
  <si>
    <t>1. In Quiz Session, let the countdown timer reach 00:00.
2. Observe system behavior.</t>
  </si>
  <si>
    <t>1. System automatically disables further answer inputs.
2. Auto-submits current answers to server immediately.
3. Redirects user to Result screen.</t>
  </si>
  <si>
    <t>1. Logged in as Student.
2. Active Quiz Session is in progress.</t>
  </si>
  <si>
    <t>TC22-STU</t>
  </si>
  <si>
    <t>Student asks AI about medical case</t>
  </si>
  <si>
    <t>1.Vô mục chat box AI
2. Nhập câu hỏi về ca bệnh).
3. Có thể chọn upload hình ảnh ca bệnh và khoanh vùng nghi vấn để hỏi AI.
4. Nhấn gửi và xem phản hồi.</t>
  </si>
  <si>
    <t>1. AI trả về chính xác câu hỏi của sinh viên.
2 .Câu trả được đưa ra được phân tích trích dẫn thông qua tài liệu chuyên khoa.
3. Nếu câu hỏi không đúng về y khoa, từ chối trả lời.</t>
  </si>
  <si>
    <t>1. Đăng nhập Role Student bấm mục chat box AI</t>
  </si>
  <si>
    <t>TC22-STU-U1</t>
  </si>
  <si>
    <t>Student asks AI a completely non-medical question (Unhappy)</t>
  </si>
  <si>
    <t>1. Open AI Chat box.
2. Enter off-topic prompt (e.g. "Write python code to print hello world").
3. Click send.</t>
  </si>
  <si>
    <t>1. AI recognizes off-topic prompt.
2. Refuses to answer off-topic content.
3. Prompts student to ask questions related to medical cases or bone diseases.</t>
  </si>
  <si>
    <t>TC22-STU-U2</t>
  </si>
  <si>
    <t>Upload unsupported file type to AI chat (Unhappy)</t>
  </si>
  <si>
    <t>1. Open AI Chat box.
2. Click "Upload Image".
3. Select a .txt or .docx file.
4. Click upload.</t>
  </si>
  <si>
    <t>1. FE blocks upload.
2. Error message displayed: "Only image files (JPG, PNG) can be analyzed by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</si>
</sst>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7">
    <font>
      <sz val="11"/>
      <color theme="1"/>
      <name val="Calibri"/>
      <family val="2"/>
      <scheme val="minor"/>
    </font>
    <font>
      <sz val="10"/>
      <color theme="1"/>
      <name val="Tahoma"/>
    </font>
    <font>
      <b/>
      <sz val="26"/>
      <color rgb="FFFF0000"/>
      <name val="Tahoma"/>
    </font>
    <font>
      <b/>
      <sz val="20"/>
      <color rgb="FF000000"/>
      <name val="Tahoma"/>
    </font>
    <font>
      <sz val="11"/>
      <name val="Calibri"/>
    </font>
    <font>
      <b/>
      <sz val="10"/>
      <color rgb="FF993300"/>
      <name val="Tahoma"/>
    </font>
    <font>
      <i/>
      <sz val="10"/>
      <color rgb="FF008000"/>
      <name val="Tahoma"/>
    </font>
    <font>
      <b/>
      <sz val="10"/>
      <color theme="1"/>
      <name val="Tahoma"/>
    </font>
    <font>
      <i/>
      <sz val="10"/>
      <color theme="1"/>
      <name val="Tahoma"/>
    </font>
    <font>
      <b/>
      <sz val="10"/>
      <color rgb="FFFFFFFF"/>
      <name val="Tahoma"/>
    </font>
    <font>
      <b/>
      <sz val="10"/>
      <color rgb="FF000000"/>
      <name val="Tahoma"/>
    </font>
    <font>
      <b/>
      <sz val="10"/>
      <color rgb="FFFF0000"/>
      <name val="Tahoma"/>
    </font>
    <font>
      <sz val="10"/>
      <color rgb="FFFFFFFF"/>
      <name val="Tahoma"/>
    </font>
    <font>
      <b/>
      <sz val="10"/>
      <color rgb="FF0000FF"/>
      <name val="Tahoma"/>
    </font>
    <font>
      <sz val="10"/>
      <color rgb="FFFF0000"/>
      <name val="Tahoma"/>
    </font>
    <font>
      <sz val="10"/>
      <color rgb="FF000000"/>
      <name val="Tahoma"/>
    </font>
    <font>
      <b/>
      <i/>
      <sz val="10"/>
      <color theme="1"/>
      <name val="Tahoma"/>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theme="0"/>
        <bgColor theme="0"/>
      </patternFill>
    </fill>
    <fill>
      <patternFill patternType="solid">
        <fgColor rgb="FF76923C"/>
        <bgColor rgb="FF76923C"/>
      </patternFill>
    </fill>
    <fill>
      <patternFill patternType="solid">
        <fgColor rgb="FFCCFFFF"/>
        <bgColor rgb="FFCCFFFF"/>
      </patternFill>
    </fill>
  </fills>
  <borders count="3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right style="medium">
        <color rgb="FF000000"/>
      </right>
      <top/>
      <bottom/>
      <diagonal/>
    </border>
    <border>
      <left/>
      <right style="hair">
        <color rgb="FF000000"/>
      </right>
      <top style="thin">
        <color rgb="FF000000"/>
      </top>
      <bottom/>
      <diagonal/>
    </border>
    <border>
      <left style="hair">
        <color rgb="FF000000"/>
      </left>
      <right style="medium">
        <color rgb="FF000000"/>
      </right>
      <top style="thin">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119">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0" xfId="0" applyFont="1" applyFill="1" applyAlignment="1">
      <alignment horizontal="left"/>
    </xf>
    <xf numFmtId="0" fontId="6" fillId="0" borderId="0" xfId="0" applyFont="1" applyAlignment="1">
      <alignment horizontal="left"/>
    </xf>
    <xf numFmtId="0" fontId="1" fillId="2" borderId="4" xfId="0" applyFont="1" applyFill="1" applyBorder="1" applyAlignment="1">
      <alignment horizontal="center" vertical="top" wrapText="1"/>
    </xf>
    <xf numFmtId="0" fontId="7" fillId="2" borderId="4" xfId="0" applyFont="1" applyFill="1" applyBorder="1" applyAlignment="1">
      <alignment horizontal="left"/>
    </xf>
    <xf numFmtId="0" fontId="1" fillId="0" borderId="3" xfId="0" applyFont="1" applyBorder="1" applyAlignment="1">
      <alignment readingOrder="1"/>
    </xf>
    <xf numFmtId="164" fontId="1" fillId="0" borderId="3" xfId="0" applyNumberFormat="1" applyFont="1" applyBorder="1" applyAlignment="1">
      <alignment horizontal="left" readingOrder="1"/>
    </xf>
    <xf numFmtId="0" fontId="7" fillId="2" borderId="4" xfId="0" applyFont="1" applyFill="1" applyBorder="1" applyAlignment="1">
      <alignment vertical="center"/>
    </xf>
    <xf numFmtId="0" fontId="8" fillId="0" borderId="3" xfId="0" applyFont="1" applyBorder="1" applyAlignment="1">
      <alignment horizontal="left" readingOrder="1"/>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9" fillId="3" borderId="5"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1" fillId="0" borderId="0" xfId="0" applyFont="1" applyAlignment="1">
      <alignment vertical="center"/>
    </xf>
    <xf numFmtId="0" fontId="8" fillId="0" borderId="8" xfId="0" applyFont="1" applyBorder="1" applyAlignment="1">
      <alignment vertical="top" wrapText="1"/>
    </xf>
    <xf numFmtId="49" fontId="1" fillId="0" borderId="9" xfId="0" applyNumberFormat="1" applyFont="1" applyBorder="1" applyAlignment="1">
      <alignment vertical="top"/>
    </xf>
    <xf numFmtId="0" fontId="1" fillId="0" borderId="9" xfId="0" applyFont="1" applyBorder="1" applyAlignment="1">
      <alignment vertical="top"/>
    </xf>
    <xf numFmtId="15" fontId="1" fillId="0" borderId="9" xfId="0" applyNumberFormat="1" applyFont="1" applyBorder="1" applyAlignment="1">
      <alignment vertical="top"/>
    </xf>
    <xf numFmtId="0" fontId="8" fillId="0" borderId="10" xfId="0" applyFont="1" applyBorder="1" applyAlignment="1">
      <alignment vertical="top" wrapText="1"/>
    </xf>
    <xf numFmtId="0" fontId="1" fillId="0" borderId="0" xfId="0" applyFont="1" applyAlignment="1">
      <alignment vertical="top"/>
    </xf>
    <xf numFmtId="15" fontId="1" fillId="0" borderId="8" xfId="0" applyNumberFormat="1" applyFont="1" applyBorder="1" applyAlignment="1">
      <alignment vertical="top"/>
    </xf>
    <xf numFmtId="0" fontId="1" fillId="0" borderId="10" xfId="0" applyFont="1" applyBorder="1" applyAlignment="1">
      <alignment vertical="top"/>
    </xf>
    <xf numFmtId="15" fontId="1" fillId="0" borderId="11" xfId="0" applyNumberFormat="1" applyFont="1" applyBorder="1" applyAlignment="1">
      <alignment vertical="top"/>
    </xf>
    <xf numFmtId="49" fontId="1" fillId="0" borderId="12" xfId="0" applyNumberFormat="1" applyFont="1" applyBorder="1" applyAlignment="1">
      <alignment vertical="top"/>
    </xf>
    <xf numFmtId="0" fontId="1" fillId="0" borderId="12" xfId="0" applyFont="1" applyBorder="1" applyAlignment="1">
      <alignment vertical="top"/>
    </xf>
    <xf numFmtId="0" fontId="1" fillId="0" borderId="13" xfId="0" applyFont="1" applyBorder="1" applyAlignment="1">
      <alignment vertical="top"/>
    </xf>
    <xf numFmtId="1" fontId="1" fillId="2" borderId="0" xfId="0" applyNumberFormat="1" applyFont="1" applyFill="1"/>
    <xf numFmtId="0" fontId="1" fillId="2" borderId="0" xfId="0" applyFont="1" applyFill="1" applyAlignment="1">
      <alignment horizontal="left"/>
    </xf>
    <xf numFmtId="0" fontId="3" fillId="2" borderId="0" xfId="0" applyFont="1" applyFill="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0" fontId="1" fillId="2" borderId="0" xfId="0" applyFont="1" applyFill="1" applyAlignment="1">
      <alignment wrapText="1"/>
    </xf>
    <xf numFmtId="1" fontId="5"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7" fillId="2" borderId="0" xfId="0" applyFont="1" applyFill="1" applyAlignment="1">
      <alignment horizontal="center"/>
    </xf>
    <xf numFmtId="1" fontId="9" fillId="4" borderId="14" xfId="0" applyNumberFormat="1" applyFont="1" applyFill="1" applyBorder="1" applyAlignment="1">
      <alignment horizontal="center" vertical="center"/>
    </xf>
    <xf numFmtId="0" fontId="9" fillId="4" borderId="15"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17" xfId="0" applyFont="1" applyFill="1" applyBorder="1" applyAlignment="1">
      <alignment horizontal="center" vertical="center"/>
    </xf>
    <xf numFmtId="1" fontId="1" fillId="2" borderId="4" xfId="0" applyNumberFormat="1" applyFont="1" applyFill="1" applyBorder="1" applyAlignment="1">
      <alignment vertical="center"/>
    </xf>
    <xf numFmtId="49" fontId="1" fillId="2" borderId="4" xfId="0" applyNumberFormat="1" applyFont="1" applyFill="1" applyBorder="1" applyAlignment="1">
      <alignment horizontal="left" vertical="center"/>
    </xf>
    <xf numFmtId="0" fontId="1" fillId="2" borderId="4" xfId="0" applyFont="1" applyFill="1" applyBorder="1" applyAlignment="1">
      <alignment horizontal="left" vertical="center"/>
    </xf>
    <xf numFmtId="0" fontId="7" fillId="2" borderId="0" xfId="0" applyFont="1" applyFill="1"/>
    <xf numFmtId="15" fontId="1" fillId="2" borderId="0" xfId="0" applyNumberFormat="1" applyFont="1" applyFill="1"/>
    <xf numFmtId="0" fontId="5" fillId="2" borderId="4" xfId="0" applyFont="1" applyFill="1" applyBorder="1" applyAlignment="1">
      <alignment horizontal="left" vertical="center"/>
    </xf>
    <xf numFmtId="0" fontId="5" fillId="2" borderId="3" xfId="0" applyFont="1" applyFill="1" applyBorder="1" applyAlignment="1">
      <alignment horizontal="left"/>
    </xf>
    <xf numFmtId="0" fontId="1" fillId="2" borderId="3" xfId="0" applyFont="1" applyFill="1" applyBorder="1" applyAlignment="1">
      <alignment vertical="top" readingOrder="1"/>
    </xf>
    <xf numFmtId="0" fontId="1" fillId="2" borderId="3" xfId="0" applyFont="1" applyFill="1" applyBorder="1" applyAlignment="1">
      <alignment vertical="top"/>
    </xf>
    <xf numFmtId="0" fontId="5" fillId="2" borderId="4" xfId="0" applyFont="1" applyFill="1" applyBorder="1" applyAlignment="1">
      <alignment vertical="center"/>
    </xf>
    <xf numFmtId="0" fontId="5" fillId="2" borderId="0" xfId="0" applyFont="1" applyFill="1"/>
    <xf numFmtId="0" fontId="6" fillId="2" borderId="0" xfId="0" applyFont="1" applyFill="1"/>
    <xf numFmtId="0" fontId="1" fillId="2" borderId="18" xfId="0" applyFont="1" applyFill="1" applyBorder="1"/>
    <xf numFmtId="0" fontId="9" fillId="3" borderId="19" xfId="0" applyFont="1" applyFill="1" applyBorder="1" applyAlignment="1">
      <alignment horizontal="center"/>
    </xf>
    <xf numFmtId="0" fontId="9" fillId="3" borderId="15" xfId="0" applyFont="1" applyFill="1" applyBorder="1" applyAlignment="1">
      <alignment horizontal="center"/>
    </xf>
    <xf numFmtId="0" fontId="9" fillId="3" borderId="15" xfId="0" applyFont="1" applyFill="1" applyBorder="1" applyAlignment="1">
      <alignment horizontal="center" wrapText="1"/>
    </xf>
    <xf numFmtId="0" fontId="9" fillId="3" borderId="16" xfId="0" applyFont="1" applyFill="1" applyBorder="1" applyAlignment="1">
      <alignment horizontal="center"/>
    </xf>
    <xf numFmtId="0" fontId="9" fillId="3" borderId="20"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0" fontId="1" fillId="5" borderId="4" xfId="0" applyFont="1" applyFill="1" applyBorder="1" applyAlignment="1">
      <alignment horizontal="center"/>
    </xf>
    <xf numFmtId="0" fontId="1" fillId="5" borderId="4" xfId="0" applyFont="1" applyFill="1" applyBorder="1"/>
    <xf numFmtId="0" fontId="12" fillId="3" borderId="21" xfId="0" applyFont="1" applyFill="1" applyBorder="1" applyAlignment="1">
      <alignment horizontal="center"/>
    </xf>
    <xf numFmtId="0" fontId="9" fillId="3" borderId="12" xfId="0" applyFont="1" applyFill="1" applyBorder="1"/>
    <xf numFmtId="0" fontId="12" fillId="3" borderId="12" xfId="0" applyFont="1" applyFill="1" applyBorder="1" applyAlignment="1">
      <alignment horizontal="center"/>
    </xf>
    <xf numFmtId="0" fontId="12" fillId="3" borderId="22" xfId="0" applyFont="1" applyFill="1" applyBorder="1" applyAlignment="1">
      <alignment horizontal="center"/>
    </xf>
    <xf numFmtId="2" fontId="13" fillId="2" borderId="0" xfId="0" applyNumberFormat="1" applyFont="1" applyFill="1" applyAlignment="1">
      <alignment horizontal="right" wrapText="1"/>
    </xf>
    <xf numFmtId="0" fontId="1" fillId="2" borderId="4" xfId="0" applyFont="1" applyFill="1" applyBorder="1" applyAlignment="1">
      <alignment horizontal="left" vertical="top" wrapText="1"/>
    </xf>
    <xf numFmtId="0" fontId="7" fillId="2" borderId="23" xfId="0" applyFont="1" applyFill="1" applyBorder="1" applyAlignment="1">
      <alignment horizontal="center" vertical="top" wrapText="1"/>
    </xf>
    <xf numFmtId="0" fontId="6" fillId="2" borderId="0" xfId="0" applyFont="1" applyFill="1" applyAlignment="1">
      <alignment wrapText="1"/>
    </xf>
    <xf numFmtId="0" fontId="6" fillId="2" borderId="0" xfId="0" applyFont="1" applyFill="1" applyAlignment="1">
      <alignment horizontal="left" wrapText="1"/>
    </xf>
    <xf numFmtId="0" fontId="14" fillId="2" borderId="0" xfId="0" applyFont="1" applyFill="1" applyAlignment="1">
      <alignment wrapText="1"/>
    </xf>
    <xf numFmtId="0" fontId="15" fillId="2" borderId="0" xfId="0" applyFont="1" applyFill="1"/>
    <xf numFmtId="0" fontId="7" fillId="2" borderId="27" xfId="0" applyFont="1" applyFill="1" applyBorder="1" applyAlignment="1">
      <alignment horizontal="center" vertical="top" wrapText="1"/>
    </xf>
    <xf numFmtId="0" fontId="16" fillId="2" borderId="27"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29" xfId="0" applyFont="1" applyFill="1" applyBorder="1" applyAlignment="1">
      <alignment horizontal="center" vertical="top" wrapText="1"/>
    </xf>
    <xf numFmtId="0" fontId="10" fillId="2" borderId="0" xfId="0" applyFont="1" applyFill="1" applyAlignment="1">
      <alignment horizontal="center" vertical="center" wrapText="1"/>
    </xf>
    <xf numFmtId="0" fontId="1" fillId="2" borderId="0" xfId="0" applyFont="1" applyFill="1" applyAlignment="1">
      <alignment horizontal="center" wrapText="1"/>
    </xf>
    <xf numFmtId="0" fontId="14" fillId="2" borderId="0" xfId="0" applyFont="1" applyFill="1" applyAlignment="1">
      <alignment horizontal="center" wrapText="1"/>
    </xf>
    <xf numFmtId="0" fontId="1" fillId="2" borderId="30" xfId="0" applyFont="1" applyFill="1" applyBorder="1" applyAlignment="1">
      <alignment horizontal="center" vertical="top" wrapText="1"/>
    </xf>
    <xf numFmtId="0" fontId="1" fillId="2" borderId="29" xfId="0" applyFont="1" applyFill="1" applyBorder="1" applyAlignment="1">
      <alignment horizontal="center" vertical="top" wrapText="1"/>
    </xf>
    <xf numFmtId="0" fontId="15" fillId="2" borderId="0" xfId="0" applyFont="1" applyFill="1" applyAlignment="1">
      <alignment horizontal="center" vertical="center" wrapText="1"/>
    </xf>
    <xf numFmtId="0" fontId="16" fillId="2" borderId="31" xfId="0" applyFont="1" applyFill="1" applyBorder="1" applyAlignment="1">
      <alignment horizontal="center" vertical="top" wrapText="1"/>
    </xf>
    <xf numFmtId="0" fontId="1" fillId="2" borderId="32" xfId="0" applyFont="1" applyFill="1" applyBorder="1" applyAlignment="1">
      <alignment horizontal="center" vertical="top" wrapText="1"/>
    </xf>
    <xf numFmtId="0" fontId="15" fillId="2" borderId="0" xfId="0" applyFont="1" applyFill="1" applyAlignment="1">
      <alignment horizontal="center" wrapText="1"/>
    </xf>
    <xf numFmtId="0" fontId="9" fillId="6"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7" fillId="7" borderId="33" xfId="0" applyFont="1" applyFill="1" applyBorder="1" applyAlignment="1">
      <alignment horizontal="left" vertical="center"/>
    </xf>
    <xf numFmtId="0" fontId="7" fillId="7" borderId="34" xfId="0" applyFont="1" applyFill="1" applyBorder="1" applyAlignment="1">
      <alignment horizontal="left" vertical="center"/>
    </xf>
    <xf numFmtId="0" fontId="11" fillId="2" borderId="0" xfId="0" applyFont="1" applyFill="1" applyAlignment="1">
      <alignment horizontal="left" vertical="center"/>
    </xf>
    <xf numFmtId="0" fontId="15" fillId="2" borderId="0" xfId="0" applyFont="1" applyFill="1" applyAlignment="1">
      <alignment vertical="top"/>
    </xf>
    <xf numFmtId="0" fontId="14" fillId="2" borderId="0" xfId="0" applyFont="1" applyFill="1" applyAlignment="1">
      <alignment vertical="top" wrapText="1"/>
    </xf>
    <xf numFmtId="164" fontId="1" fillId="2" borderId="4" xfId="0" applyNumberFormat="1" applyFont="1" applyFill="1" applyBorder="1" applyAlignment="1">
      <alignment horizontal="center" vertical="top"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8" fillId="0" borderId="1" xfId="0" applyFont="1" applyBorder="1" applyAlignment="1">
      <alignment horizontal="left" readingOrder="1"/>
    </xf>
    <xf numFmtId="0" fontId="8" fillId="0" borderId="1" xfId="0" applyFont="1" applyBorder="1" applyAlignment="1">
      <alignment horizontal="left" vertical="center"/>
    </xf>
    <xf numFmtId="1" fontId="5" fillId="2" borderId="1" xfId="0" applyNumberFormat="1" applyFont="1" applyFill="1" applyBorder="1"/>
    <xf numFmtId="0" fontId="1" fillId="2" borderId="1" xfId="0" applyFont="1" applyFill="1" applyBorder="1" applyAlignment="1">
      <alignment horizontal="left"/>
    </xf>
    <xf numFmtId="1" fontId="5" fillId="2" borderId="1" xfId="0" applyNumberFormat="1" applyFont="1" applyFill="1" applyBorder="1" applyAlignment="1">
      <alignment vertical="center" wrapText="1"/>
    </xf>
    <xf numFmtId="0" fontId="1" fillId="2" borderId="1" xfId="0" applyFont="1" applyFill="1" applyBorder="1" applyAlignment="1">
      <alignment vertical="top" wrapText="1"/>
    </xf>
    <xf numFmtId="0" fontId="3" fillId="2" borderId="0" xfId="0" applyFont="1" applyFill="1" applyAlignment="1">
      <alignment horizontal="center"/>
    </xf>
    <xf numFmtId="0" fontId="4" fillId="0" borderId="0" xfId="0" applyFont="1"/>
    <xf numFmtId="0" fontId="5" fillId="2" borderId="1" xfId="0" applyFont="1" applyFill="1" applyBorder="1" applyAlignment="1">
      <alignment horizontal="left"/>
    </xf>
    <xf numFmtId="0" fontId="6" fillId="2" borderId="1" xfId="0" applyFont="1" applyFill="1" applyBorder="1" applyAlignment="1">
      <alignment vertical="top"/>
    </xf>
    <xf numFmtId="0" fontId="1" fillId="2" borderId="24" xfId="0" applyFont="1" applyFill="1" applyBorder="1" applyAlignment="1">
      <alignment horizontal="left" vertical="top" wrapText="1"/>
    </xf>
    <xf numFmtId="0" fontId="4" fillId="0" borderId="25" xfId="0" applyFont="1" applyBorder="1"/>
    <xf numFmtId="0" fontId="4" fillId="0" borderId="26" xfId="0" applyFont="1" applyBorder="1"/>
    <xf numFmtId="0" fontId="1" fillId="2" borderId="1" xfId="0" applyFont="1" applyFill="1" applyBorder="1" applyAlignment="1">
      <alignment horizontal="left" vertical="top" wrapText="1"/>
    </xf>
    <xf numFmtId="0" fontId="4" fillId="0" borderId="2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143125" cy="781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Normal="100" workbookViewId="0"/>
  </sheetViews>
  <sheetFormatPr defaultColWidth="12.6640625" defaultRowHeight="14.4"/>
  <cols>
    <col min="1" max="1" width="28.109375" customWidth="1"/>
    <col min="2" max="2" width="10" customWidth="1"/>
    <col min="3" max="3" width="14.33203125" customWidth="1"/>
    <col min="4" max="4" width="8" customWidth="1"/>
    <col min="5" max="5" width="38" customWidth="1"/>
    <col min="6" max="6" width="48.109375" customWidth="1"/>
  </cols>
  <sheetData>
    <row r="1" spans="1:26" ht="12.75" customHeight="1">
      <c r="A1" s="1"/>
      <c r="B1" s="2"/>
      <c r="C1" s="2"/>
      <c r="D1" s="2"/>
      <c r="E1" s="2"/>
      <c r="F1" s="2"/>
      <c r="G1" s="2"/>
      <c r="H1" s="2"/>
      <c r="I1" s="2"/>
      <c r="J1" s="2"/>
      <c r="K1" s="2"/>
      <c r="L1" s="2"/>
      <c r="M1" s="2"/>
      <c r="N1" s="2"/>
      <c r="O1" s="2"/>
      <c r="P1" s="2"/>
      <c r="Q1" s="2"/>
      <c r="R1" s="2"/>
      <c r="S1" s="2"/>
      <c r="T1" s="2"/>
      <c r="U1" s="2"/>
      <c r="V1" s="2"/>
      <c r="W1" s="2"/>
      <c r="X1" s="2"/>
      <c r="Y1" s="2"/>
      <c r="Z1" s="2"/>
    </row>
    <row r="2" spans="1:26" ht="75.75" customHeight="1">
      <c r="A2" s="3"/>
      <c r="B2" s="101" t="s">
        <v>0</v>
      </c>
      <c r="C2" s="102"/>
      <c r="D2" s="102"/>
      <c r="E2" s="102"/>
      <c r="F2" s="103"/>
      <c r="G2" s="4"/>
      <c r="H2" s="4"/>
      <c r="I2" s="4"/>
      <c r="J2" s="4"/>
      <c r="K2" s="4"/>
      <c r="L2" s="4"/>
      <c r="M2" s="4"/>
      <c r="N2" s="4"/>
      <c r="O2" s="4"/>
      <c r="P2" s="4"/>
      <c r="Q2" s="4"/>
      <c r="R2" s="4"/>
      <c r="S2" s="4"/>
      <c r="T2" s="4"/>
      <c r="U2" s="4"/>
      <c r="V2" s="4"/>
      <c r="W2" s="4"/>
      <c r="X2" s="4"/>
      <c r="Y2" s="4"/>
      <c r="Z2" s="4"/>
    </row>
    <row r="3" spans="1:26" ht="12.75" customHeight="1">
      <c r="A3" s="5"/>
      <c r="B3" s="6"/>
      <c r="C3" s="2"/>
      <c r="D3" s="2"/>
      <c r="E3" s="7"/>
      <c r="F3" s="2"/>
      <c r="G3" s="2"/>
      <c r="H3" s="2"/>
      <c r="I3" s="2"/>
      <c r="J3" s="2"/>
      <c r="K3" s="2"/>
      <c r="L3" s="2"/>
      <c r="M3" s="2"/>
      <c r="N3" s="2"/>
      <c r="O3" s="2"/>
      <c r="P3" s="2"/>
      <c r="Q3" s="2"/>
      <c r="R3" s="2"/>
      <c r="S3" s="2"/>
      <c r="T3" s="2"/>
      <c r="U3" s="2"/>
      <c r="V3" s="2"/>
      <c r="W3" s="2"/>
      <c r="X3" s="2"/>
      <c r="Y3" s="2"/>
      <c r="Z3" s="2"/>
    </row>
    <row r="4" spans="1:26" ht="14.25" customHeight="1">
      <c r="A4" s="8" t="s">
        <v>1</v>
      </c>
      <c r="B4" s="104" t="s">
        <v>2</v>
      </c>
      <c r="C4" s="102"/>
      <c r="D4" s="103"/>
      <c r="E4" s="8" t="s">
        <v>3</v>
      </c>
      <c r="F4" s="9" t="s">
        <v>4</v>
      </c>
      <c r="G4" s="2"/>
      <c r="H4" s="2"/>
      <c r="I4" s="2"/>
      <c r="J4" s="2"/>
      <c r="K4" s="2"/>
      <c r="L4" s="2"/>
      <c r="M4" s="2"/>
      <c r="N4" s="2"/>
      <c r="O4" s="2"/>
      <c r="P4" s="2"/>
      <c r="Q4" s="2"/>
      <c r="R4" s="2"/>
      <c r="S4" s="2"/>
      <c r="T4" s="2"/>
      <c r="U4" s="2"/>
      <c r="V4" s="2"/>
      <c r="W4" s="2"/>
      <c r="X4" s="2"/>
      <c r="Y4" s="2"/>
      <c r="Z4" s="2"/>
    </row>
    <row r="5" spans="1:26" ht="14.25" customHeight="1">
      <c r="A5" s="8" t="s">
        <v>5</v>
      </c>
      <c r="B5" s="104" t="s">
        <v>6</v>
      </c>
      <c r="C5" s="102"/>
      <c r="D5" s="103"/>
      <c r="E5" s="8" t="s">
        <v>7</v>
      </c>
      <c r="F5" s="10">
        <v>46126</v>
      </c>
      <c r="G5" s="2"/>
      <c r="H5" s="2"/>
      <c r="I5" s="2"/>
      <c r="J5" s="2"/>
      <c r="K5" s="2"/>
      <c r="L5" s="2"/>
      <c r="M5" s="2"/>
      <c r="N5" s="2"/>
      <c r="O5" s="2"/>
      <c r="P5" s="2"/>
      <c r="Q5" s="2"/>
      <c r="R5" s="2"/>
      <c r="S5" s="2"/>
      <c r="T5" s="2"/>
      <c r="U5" s="2"/>
      <c r="V5" s="2"/>
      <c r="W5" s="2"/>
      <c r="X5" s="2"/>
      <c r="Y5" s="2"/>
      <c r="Z5" s="2"/>
    </row>
    <row r="6" spans="1:26" ht="15.75" customHeight="1">
      <c r="A6" s="11" t="s">
        <v>8</v>
      </c>
      <c r="B6" s="105" t="str">
        <f>B5&amp;"_"&amp;"XXX"&amp;"_"&amp;"vx.x"</f>
        <v>SP26SE110_XXX_vx.x</v>
      </c>
      <c r="C6" s="102"/>
      <c r="D6" s="103"/>
      <c r="E6" s="8" t="s">
        <v>9</v>
      </c>
      <c r="F6" s="12">
        <v>1</v>
      </c>
      <c r="G6" s="2"/>
      <c r="H6" s="2"/>
      <c r="I6" s="2"/>
      <c r="J6" s="2"/>
      <c r="K6" s="2"/>
      <c r="L6" s="2"/>
      <c r="M6" s="2"/>
      <c r="N6" s="2"/>
      <c r="O6" s="2"/>
      <c r="P6" s="2"/>
      <c r="Q6" s="2"/>
      <c r="R6" s="2"/>
      <c r="S6" s="2"/>
      <c r="T6" s="2"/>
      <c r="U6" s="2"/>
      <c r="V6" s="2"/>
      <c r="W6" s="2"/>
      <c r="X6" s="2"/>
      <c r="Y6" s="2"/>
      <c r="Z6" s="2"/>
    </row>
    <row r="7" spans="1:26" ht="12.75" customHeight="1">
      <c r="A7" s="13"/>
      <c r="B7" s="6"/>
      <c r="C7" s="2"/>
      <c r="D7" s="2"/>
      <c r="E7" s="14"/>
      <c r="F7" s="6"/>
      <c r="G7" s="2"/>
      <c r="H7" s="2"/>
      <c r="I7" s="2"/>
      <c r="J7" s="2"/>
      <c r="K7" s="2"/>
      <c r="L7" s="2"/>
      <c r="M7" s="2"/>
      <c r="N7" s="2"/>
      <c r="O7" s="2"/>
      <c r="P7" s="2"/>
      <c r="Q7" s="2"/>
      <c r="R7" s="2"/>
      <c r="S7" s="2"/>
      <c r="T7" s="2"/>
      <c r="U7" s="2"/>
      <c r="V7" s="2"/>
      <c r="W7" s="2"/>
      <c r="X7" s="2"/>
      <c r="Y7" s="2"/>
      <c r="Z7" s="2"/>
    </row>
    <row r="8" spans="1:26" ht="12.75" customHeight="1">
      <c r="A8" s="2"/>
      <c r="B8" s="2"/>
      <c r="C8" s="2"/>
      <c r="D8" s="2"/>
      <c r="E8" s="2"/>
      <c r="F8" s="2"/>
      <c r="G8" s="2"/>
      <c r="H8" s="2"/>
      <c r="I8" s="2"/>
      <c r="J8" s="2"/>
      <c r="K8" s="2"/>
      <c r="L8" s="2"/>
      <c r="M8" s="2"/>
      <c r="N8" s="2"/>
      <c r="O8" s="2"/>
      <c r="P8" s="2"/>
      <c r="Q8" s="2"/>
      <c r="R8" s="2"/>
      <c r="S8" s="2"/>
      <c r="T8" s="2"/>
      <c r="U8" s="2"/>
      <c r="V8" s="2"/>
      <c r="W8" s="2"/>
      <c r="X8" s="2"/>
      <c r="Y8" s="2"/>
      <c r="Z8" s="2"/>
    </row>
    <row r="9" spans="1:26" ht="12.75" customHeight="1">
      <c r="A9" s="15" t="s">
        <v>10</v>
      </c>
      <c r="B9" s="2"/>
      <c r="C9" s="2"/>
      <c r="D9" s="2"/>
      <c r="E9" s="2"/>
      <c r="F9" s="2"/>
      <c r="G9" s="2"/>
      <c r="H9" s="2"/>
      <c r="I9" s="2"/>
      <c r="J9" s="2"/>
      <c r="K9" s="2"/>
      <c r="L9" s="2"/>
      <c r="M9" s="2"/>
      <c r="N9" s="2"/>
      <c r="O9" s="2"/>
      <c r="P9" s="2"/>
      <c r="Q9" s="2"/>
      <c r="R9" s="2"/>
      <c r="S9" s="2"/>
      <c r="T9" s="2"/>
      <c r="U9" s="2"/>
      <c r="V9" s="2"/>
      <c r="W9" s="2"/>
      <c r="X9" s="2"/>
      <c r="Y9" s="2"/>
      <c r="Z9" s="2"/>
    </row>
    <row r="10" spans="1:26" ht="12.75" customHeight="1">
      <c r="A10" s="16" t="s">
        <v>11</v>
      </c>
      <c r="B10" s="17" t="s">
        <v>9</v>
      </c>
      <c r="C10" s="17" t="s">
        <v>12</v>
      </c>
      <c r="D10" s="17" t="s">
        <v>13</v>
      </c>
      <c r="E10" s="17" t="s">
        <v>14</v>
      </c>
      <c r="F10" s="18" t="s">
        <v>15</v>
      </c>
      <c r="G10" s="19"/>
      <c r="H10" s="19"/>
      <c r="I10" s="19"/>
      <c r="J10" s="19"/>
      <c r="K10" s="19"/>
      <c r="L10" s="19"/>
      <c r="M10" s="19"/>
      <c r="N10" s="19"/>
      <c r="O10" s="19"/>
      <c r="P10" s="19"/>
      <c r="Q10" s="19"/>
      <c r="R10" s="19"/>
      <c r="S10" s="19"/>
      <c r="T10" s="19"/>
      <c r="U10" s="19"/>
      <c r="V10" s="19"/>
      <c r="W10" s="19"/>
      <c r="X10" s="19"/>
      <c r="Y10" s="19"/>
      <c r="Z10" s="19"/>
    </row>
    <row r="11" spans="1:26" ht="26.25" customHeight="1">
      <c r="A11" s="20" t="s">
        <v>16</v>
      </c>
      <c r="B11" s="21"/>
      <c r="C11" s="22"/>
      <c r="D11" s="22"/>
      <c r="E11" s="23"/>
      <c r="F11" s="24" t="s">
        <v>17</v>
      </c>
      <c r="G11" s="25"/>
      <c r="H11" s="25"/>
      <c r="I11" s="25"/>
      <c r="J11" s="25"/>
      <c r="K11" s="25"/>
      <c r="L11" s="25"/>
      <c r="M11" s="25"/>
      <c r="N11" s="25"/>
      <c r="O11" s="25"/>
      <c r="P11" s="25"/>
      <c r="Q11" s="25"/>
      <c r="R11" s="25"/>
      <c r="S11" s="25"/>
      <c r="T11" s="25"/>
      <c r="U11" s="25"/>
      <c r="V11" s="25"/>
      <c r="W11" s="25"/>
      <c r="X11" s="25"/>
      <c r="Y11" s="25"/>
      <c r="Z11" s="25"/>
    </row>
    <row r="12" spans="1:26" ht="21.75" customHeight="1">
      <c r="A12" s="26"/>
      <c r="B12" s="21"/>
      <c r="C12" s="22"/>
      <c r="D12" s="22"/>
      <c r="E12" s="22"/>
      <c r="F12" s="27"/>
      <c r="G12" s="25"/>
      <c r="H12" s="25"/>
      <c r="I12" s="25"/>
      <c r="J12" s="25"/>
      <c r="K12" s="25"/>
      <c r="L12" s="25"/>
      <c r="M12" s="25"/>
      <c r="N12" s="25"/>
      <c r="O12" s="25"/>
      <c r="P12" s="25"/>
      <c r="Q12" s="25"/>
      <c r="R12" s="25"/>
      <c r="S12" s="25"/>
      <c r="T12" s="25"/>
      <c r="U12" s="25"/>
      <c r="V12" s="25"/>
      <c r="W12" s="25"/>
      <c r="X12" s="25"/>
      <c r="Y12" s="25"/>
      <c r="Z12" s="25"/>
    </row>
    <row r="13" spans="1:26" ht="19.5" customHeight="1">
      <c r="A13" s="26"/>
      <c r="B13" s="21"/>
      <c r="C13" s="22"/>
      <c r="D13" s="22"/>
      <c r="E13" s="22"/>
      <c r="F13" s="27"/>
      <c r="G13" s="25"/>
      <c r="H13" s="25"/>
      <c r="I13" s="25"/>
      <c r="J13" s="25"/>
      <c r="K13" s="25"/>
      <c r="L13" s="25"/>
      <c r="M13" s="25"/>
      <c r="N13" s="25"/>
      <c r="O13" s="25"/>
      <c r="P13" s="25"/>
      <c r="Q13" s="25"/>
      <c r="R13" s="25"/>
      <c r="S13" s="25"/>
      <c r="T13" s="25"/>
      <c r="U13" s="25"/>
      <c r="V13" s="25"/>
      <c r="W13" s="25"/>
      <c r="X13" s="25"/>
      <c r="Y13" s="25"/>
      <c r="Z13" s="25"/>
    </row>
    <row r="14" spans="1:26" ht="21.75" customHeight="1">
      <c r="A14" s="26"/>
      <c r="B14" s="21"/>
      <c r="C14" s="22"/>
      <c r="D14" s="22"/>
      <c r="E14" s="22"/>
      <c r="F14" s="27"/>
      <c r="G14" s="25"/>
      <c r="H14" s="25"/>
      <c r="I14" s="25"/>
      <c r="J14" s="25"/>
      <c r="K14" s="25"/>
      <c r="L14" s="25"/>
      <c r="M14" s="25"/>
      <c r="N14" s="25"/>
      <c r="O14" s="25"/>
      <c r="P14" s="25"/>
      <c r="Q14" s="25"/>
      <c r="R14" s="25"/>
      <c r="S14" s="25"/>
      <c r="T14" s="25"/>
      <c r="U14" s="25"/>
      <c r="V14" s="25"/>
      <c r="W14" s="25"/>
      <c r="X14" s="25"/>
      <c r="Y14" s="25"/>
      <c r="Z14" s="25"/>
    </row>
    <row r="15" spans="1:26" ht="19.5" customHeight="1">
      <c r="A15" s="26"/>
      <c r="B15" s="21"/>
      <c r="C15" s="22"/>
      <c r="D15" s="22"/>
      <c r="E15" s="22"/>
      <c r="F15" s="27"/>
      <c r="G15" s="25"/>
      <c r="H15" s="25"/>
      <c r="I15" s="25"/>
      <c r="J15" s="25"/>
      <c r="K15" s="25"/>
      <c r="L15" s="25"/>
      <c r="M15" s="25"/>
      <c r="N15" s="25"/>
      <c r="O15" s="25"/>
      <c r="P15" s="25"/>
      <c r="Q15" s="25"/>
      <c r="R15" s="25"/>
      <c r="S15" s="25"/>
      <c r="T15" s="25"/>
      <c r="U15" s="25"/>
      <c r="V15" s="25"/>
      <c r="W15" s="25"/>
      <c r="X15" s="25"/>
      <c r="Y15" s="25"/>
      <c r="Z15" s="25"/>
    </row>
    <row r="16" spans="1:26" ht="21.75" customHeight="1">
      <c r="A16" s="26"/>
      <c r="B16" s="21"/>
      <c r="C16" s="22"/>
      <c r="D16" s="22"/>
      <c r="E16" s="22"/>
      <c r="F16" s="27"/>
      <c r="G16" s="25"/>
      <c r="H16" s="25"/>
      <c r="I16" s="25"/>
      <c r="J16" s="25"/>
      <c r="K16" s="25"/>
      <c r="L16" s="25"/>
      <c r="M16" s="25"/>
      <c r="N16" s="25"/>
      <c r="O16" s="25"/>
      <c r="P16" s="25"/>
      <c r="Q16" s="25"/>
      <c r="R16" s="25"/>
      <c r="S16" s="25"/>
      <c r="T16" s="25"/>
      <c r="U16" s="25"/>
      <c r="V16" s="25"/>
      <c r="W16" s="25"/>
      <c r="X16" s="25"/>
      <c r="Y16" s="25"/>
      <c r="Z16" s="25"/>
    </row>
    <row r="17" spans="1:26" ht="19.5" customHeight="1">
      <c r="A17" s="28"/>
      <c r="B17" s="29"/>
      <c r="C17" s="30"/>
      <c r="D17" s="30"/>
      <c r="E17" s="30"/>
      <c r="F17" s="31"/>
      <c r="G17" s="25"/>
      <c r="H17" s="25"/>
      <c r="I17" s="25"/>
      <c r="J17" s="25"/>
      <c r="K17" s="25"/>
      <c r="L17" s="25"/>
      <c r="M17" s="25"/>
      <c r="N17" s="25"/>
      <c r="O17" s="25"/>
      <c r="P17" s="25"/>
      <c r="Q17" s="25"/>
      <c r="R17" s="25"/>
      <c r="S17" s="25"/>
      <c r="T17" s="25"/>
      <c r="U17" s="25"/>
      <c r="V17" s="25"/>
      <c r="W17" s="25"/>
      <c r="X17" s="25"/>
      <c r="Y17" s="25"/>
      <c r="Z17" s="25"/>
    </row>
    <row r="18" spans="1:26"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ageMargins left="0.47013888888888888" right="0.47013888888888888" top="0.5" bottom="0.35138888888888886" header="0" footer="0"/>
  <pageSetup paperSize="9" orientation="landscape" useFirstPageNumber="1" horizontalDpi="4294967295" verticalDpi="4294967295"/>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3" zoomScaleNormal="100" workbookViewId="0"/>
  </sheetViews>
  <sheetFormatPr defaultColWidth="12.6640625" defaultRowHeight="14.4"/>
  <cols>
    <col min="1" max="1" width="1.33203125" customWidth="1"/>
    <col min="2" max="2" width="11.77734375" customWidth="1"/>
    <col min="3" max="3" width="38" customWidth="1"/>
    <col min="4" max="4" width="17.109375" customWidth="1"/>
    <col min="5" max="5" width="56.109375" customWidth="1"/>
    <col min="6" max="6" width="58.33203125" customWidth="1"/>
  </cols>
  <sheetData>
    <row r="1" spans="1:26" ht="12.75" customHeight="1">
      <c r="A1" s="7"/>
      <c r="B1" s="32"/>
      <c r="C1" s="33"/>
      <c r="D1" s="34" t="s">
        <v>18</v>
      </c>
      <c r="E1" s="35"/>
      <c r="F1" s="33"/>
      <c r="G1" s="7"/>
      <c r="H1" s="7"/>
      <c r="I1" s="7"/>
      <c r="J1" s="7"/>
      <c r="K1" s="7"/>
      <c r="L1" s="7"/>
      <c r="M1" s="7"/>
      <c r="N1" s="7"/>
      <c r="O1" s="7"/>
      <c r="P1" s="7"/>
      <c r="Q1" s="7"/>
      <c r="R1" s="7"/>
      <c r="S1" s="7"/>
      <c r="T1" s="7"/>
      <c r="U1" s="7"/>
      <c r="V1" s="7"/>
      <c r="W1" s="7"/>
      <c r="X1" s="7"/>
      <c r="Y1" s="7"/>
      <c r="Z1" s="7"/>
    </row>
    <row r="2" spans="1:26" ht="13.5" customHeight="1">
      <c r="A2" s="7"/>
      <c r="B2" s="32"/>
      <c r="C2" s="33"/>
      <c r="D2" s="36"/>
      <c r="E2" s="36"/>
      <c r="F2" s="33"/>
      <c r="G2" s="7"/>
      <c r="H2" s="7"/>
      <c r="I2" s="7"/>
      <c r="J2" s="7"/>
      <c r="K2" s="7"/>
      <c r="L2" s="7"/>
      <c r="M2" s="7"/>
      <c r="N2" s="7"/>
      <c r="O2" s="7"/>
      <c r="P2" s="7"/>
      <c r="Q2" s="7"/>
      <c r="R2" s="7"/>
      <c r="S2" s="7"/>
      <c r="T2" s="7"/>
      <c r="U2" s="7"/>
      <c r="V2" s="7"/>
      <c r="W2" s="7"/>
      <c r="X2" s="7"/>
      <c r="Y2" s="7"/>
      <c r="Z2" s="7"/>
    </row>
    <row r="3" spans="1:26" ht="12.75" customHeight="1">
      <c r="A3" s="7"/>
      <c r="B3" s="106" t="s">
        <v>1</v>
      </c>
      <c r="C3" s="102"/>
      <c r="D3" s="107" t="s">
        <v>19</v>
      </c>
      <c r="E3" s="102"/>
      <c r="F3" s="103"/>
      <c r="G3" s="7"/>
      <c r="H3" s="7"/>
      <c r="I3" s="7"/>
      <c r="J3" s="7"/>
      <c r="K3" s="7"/>
      <c r="L3" s="7"/>
      <c r="M3" s="7"/>
      <c r="N3" s="7"/>
      <c r="O3" s="7"/>
      <c r="P3" s="7"/>
      <c r="Q3" s="7"/>
      <c r="R3" s="7"/>
      <c r="S3" s="7"/>
      <c r="T3" s="7"/>
      <c r="U3" s="7"/>
      <c r="V3" s="7"/>
      <c r="W3" s="7"/>
      <c r="X3" s="7"/>
      <c r="Y3" s="7"/>
      <c r="Z3" s="7"/>
    </row>
    <row r="4" spans="1:26" ht="12.75" customHeight="1">
      <c r="A4" s="7"/>
      <c r="B4" s="106" t="s">
        <v>5</v>
      </c>
      <c r="C4" s="102"/>
      <c r="D4" s="107" t="s">
        <v>20</v>
      </c>
      <c r="E4" s="102"/>
      <c r="F4" s="103"/>
      <c r="G4" s="7"/>
      <c r="H4" s="7"/>
      <c r="I4" s="7"/>
      <c r="J4" s="7"/>
      <c r="K4" s="7"/>
      <c r="L4" s="7"/>
      <c r="M4" s="7"/>
      <c r="N4" s="7"/>
      <c r="O4" s="7"/>
      <c r="P4" s="7"/>
      <c r="Q4" s="7"/>
      <c r="R4" s="7"/>
      <c r="S4" s="7"/>
      <c r="T4" s="7"/>
      <c r="U4" s="7"/>
      <c r="V4" s="7"/>
      <c r="W4" s="7"/>
      <c r="X4" s="7"/>
      <c r="Y4" s="7"/>
      <c r="Z4" s="7"/>
    </row>
    <row r="5" spans="1:26" ht="84.75" customHeight="1">
      <c r="A5" s="37"/>
      <c r="B5" s="108" t="s">
        <v>21</v>
      </c>
      <c r="C5" s="103"/>
      <c r="D5" s="109" t="s">
        <v>22</v>
      </c>
      <c r="E5" s="102"/>
      <c r="F5" s="103"/>
      <c r="G5" s="37"/>
      <c r="H5" s="37"/>
      <c r="I5" s="37"/>
      <c r="J5" s="37"/>
      <c r="K5" s="37"/>
      <c r="L5" s="37"/>
      <c r="M5" s="37"/>
      <c r="N5" s="37"/>
      <c r="O5" s="37"/>
      <c r="P5" s="37"/>
      <c r="Q5" s="37"/>
      <c r="R5" s="37"/>
      <c r="S5" s="37"/>
      <c r="T5" s="37"/>
      <c r="U5" s="37"/>
      <c r="V5" s="37"/>
      <c r="W5" s="37"/>
      <c r="X5" s="37"/>
      <c r="Y5" s="37"/>
      <c r="Z5" s="37"/>
    </row>
    <row r="6" spans="1:26" ht="12.75" customHeight="1">
      <c r="A6" s="7"/>
      <c r="B6" s="38"/>
      <c r="C6" s="7"/>
      <c r="D6" s="7"/>
      <c r="E6" s="7"/>
      <c r="F6" s="7"/>
      <c r="G6" s="7"/>
      <c r="H6" s="7"/>
      <c r="I6" s="7"/>
      <c r="J6" s="7"/>
      <c r="K6" s="7"/>
      <c r="L6" s="7"/>
      <c r="M6" s="7"/>
      <c r="N6" s="7"/>
      <c r="O6" s="7"/>
      <c r="P6" s="7"/>
      <c r="Q6" s="7"/>
      <c r="R6" s="7"/>
      <c r="S6" s="7"/>
      <c r="T6" s="7"/>
      <c r="U6" s="7"/>
      <c r="V6" s="7"/>
      <c r="W6" s="7"/>
      <c r="X6" s="7"/>
      <c r="Y6" s="7"/>
      <c r="Z6" s="7"/>
    </row>
    <row r="7" spans="1:26" ht="12.75" customHeight="1">
      <c r="A7" s="39"/>
      <c r="B7" s="40"/>
      <c r="C7" s="41"/>
      <c r="D7" s="41"/>
      <c r="E7" s="41"/>
      <c r="F7" s="41"/>
      <c r="G7" s="39"/>
      <c r="H7" s="39"/>
      <c r="I7" s="39"/>
      <c r="J7" s="39"/>
      <c r="K7" s="39"/>
      <c r="L7" s="39"/>
      <c r="M7" s="39"/>
      <c r="N7" s="39"/>
      <c r="O7" s="39"/>
      <c r="P7" s="39"/>
      <c r="Q7" s="39"/>
      <c r="R7" s="39"/>
      <c r="S7" s="39"/>
      <c r="T7" s="39"/>
      <c r="U7" s="39"/>
      <c r="V7" s="39"/>
      <c r="W7" s="39"/>
      <c r="X7" s="39"/>
      <c r="Y7" s="39"/>
      <c r="Z7" s="39"/>
    </row>
    <row r="8" spans="1:26" ht="21" customHeight="1">
      <c r="A8" s="42"/>
      <c r="B8" s="43" t="s">
        <v>23</v>
      </c>
      <c r="C8" s="44" t="s">
        <v>24</v>
      </c>
      <c r="D8" s="44" t="s">
        <v>25</v>
      </c>
      <c r="E8" s="45" t="s">
        <v>26</v>
      </c>
      <c r="F8" s="46" t="s">
        <v>27</v>
      </c>
      <c r="G8" s="42"/>
      <c r="H8" s="42"/>
      <c r="I8" s="42"/>
      <c r="J8" s="42"/>
      <c r="K8" s="42"/>
      <c r="L8" s="42"/>
      <c r="M8" s="42"/>
      <c r="N8" s="42"/>
      <c r="O8" s="42"/>
      <c r="P8" s="42"/>
      <c r="Q8" s="42"/>
      <c r="R8" s="42"/>
      <c r="S8" s="42"/>
      <c r="T8" s="42"/>
      <c r="U8" s="42"/>
      <c r="V8" s="42"/>
      <c r="W8" s="42"/>
      <c r="X8" s="42"/>
      <c r="Y8" s="42"/>
      <c r="Z8" s="42"/>
    </row>
    <row r="9" spans="1:26" ht="12.75" customHeight="1">
      <c r="A9" s="7"/>
      <c r="B9" s="47">
        <v>1</v>
      </c>
      <c r="C9" s="48" t="s">
        <v>28</v>
      </c>
      <c r="D9" s="49" t="s">
        <v>29</v>
      </c>
      <c r="E9" s="49" t="s">
        <v>30</v>
      </c>
      <c r="F9" s="49" t="s">
        <v>31</v>
      </c>
      <c r="G9" s="7"/>
      <c r="H9" s="7"/>
      <c r="I9" s="7"/>
      <c r="J9" s="7"/>
      <c r="K9" s="7"/>
      <c r="L9" s="7"/>
      <c r="M9" s="7"/>
      <c r="N9" s="7"/>
      <c r="O9" s="7"/>
      <c r="P9" s="7"/>
      <c r="Q9" s="7"/>
      <c r="R9" s="7"/>
      <c r="S9" s="7"/>
      <c r="T9" s="7"/>
      <c r="U9" s="7"/>
      <c r="V9" s="7"/>
      <c r="W9" s="7"/>
      <c r="X9" s="7"/>
      <c r="Y9" s="7"/>
      <c r="Z9" s="7"/>
    </row>
    <row r="10" spans="1:26" ht="12.75" customHeight="1">
      <c r="A10" s="7"/>
      <c r="B10" s="47">
        <v>2</v>
      </c>
      <c r="C10" s="48" t="s">
        <v>32</v>
      </c>
      <c r="D10" s="49" t="s">
        <v>29</v>
      </c>
      <c r="E10" s="49" t="s">
        <v>33</v>
      </c>
      <c r="F10" s="49" t="s">
        <v>34</v>
      </c>
      <c r="G10" s="7"/>
      <c r="H10" s="7"/>
      <c r="I10" s="7"/>
      <c r="J10" s="7"/>
      <c r="K10" s="7"/>
      <c r="L10" s="7"/>
      <c r="M10" s="7"/>
      <c r="N10" s="7"/>
      <c r="O10" s="7"/>
      <c r="P10" s="7"/>
      <c r="Q10" s="7"/>
      <c r="R10" s="7"/>
      <c r="S10" s="7"/>
      <c r="T10" s="7"/>
      <c r="U10" s="7"/>
      <c r="V10" s="7"/>
      <c r="W10" s="7"/>
      <c r="X10" s="7"/>
      <c r="Y10" s="7"/>
      <c r="Z10" s="7"/>
    </row>
    <row r="11" spans="1:26" ht="12.75" customHeight="1">
      <c r="A11" s="7"/>
      <c r="B11" s="47">
        <v>3</v>
      </c>
      <c r="C11" s="48" t="s">
        <v>35</v>
      </c>
      <c r="D11" s="49" t="s">
        <v>29</v>
      </c>
      <c r="E11" s="49" t="s">
        <v>36</v>
      </c>
      <c r="F11" s="49" t="s">
        <v>34</v>
      </c>
      <c r="G11" s="7"/>
      <c r="H11" s="7"/>
      <c r="I11" s="7"/>
      <c r="J11" s="7"/>
      <c r="K11" s="7"/>
      <c r="L11" s="7"/>
      <c r="M11" s="7"/>
      <c r="N11" s="7"/>
      <c r="O11" s="7"/>
      <c r="P11" s="7"/>
      <c r="Q11" s="7"/>
      <c r="R11" s="7"/>
      <c r="S11" s="7"/>
      <c r="T11" s="7"/>
      <c r="U11" s="7"/>
      <c r="V11" s="7"/>
      <c r="W11" s="7"/>
      <c r="X11" s="7"/>
      <c r="Y11" s="7"/>
      <c r="Z11" s="7"/>
    </row>
    <row r="12" spans="1:26" ht="12.75" customHeight="1">
      <c r="A12" s="7"/>
      <c r="B12" s="47">
        <v>4</v>
      </c>
      <c r="C12" s="48" t="s">
        <v>37</v>
      </c>
      <c r="D12" s="49" t="s">
        <v>29</v>
      </c>
      <c r="E12" s="49" t="s">
        <v>38</v>
      </c>
      <c r="F12" s="49" t="s">
        <v>39</v>
      </c>
      <c r="G12" s="7"/>
      <c r="H12" s="7"/>
      <c r="I12" s="7"/>
      <c r="J12" s="7"/>
      <c r="K12" s="7"/>
      <c r="L12" s="7"/>
      <c r="M12" s="7"/>
      <c r="N12" s="7"/>
      <c r="O12" s="7"/>
      <c r="P12" s="7"/>
      <c r="Q12" s="7"/>
      <c r="R12" s="7"/>
      <c r="S12" s="7"/>
      <c r="T12" s="7"/>
      <c r="U12" s="7"/>
      <c r="V12" s="7"/>
      <c r="W12" s="7"/>
      <c r="X12" s="7"/>
      <c r="Y12" s="7"/>
      <c r="Z12" s="7"/>
    </row>
    <row r="13" spans="1:26" ht="12.75" customHeight="1">
      <c r="A13" s="7"/>
      <c r="B13" s="47">
        <v>5</v>
      </c>
      <c r="C13" s="48" t="s">
        <v>40</v>
      </c>
      <c r="D13" s="49" t="s">
        <v>29</v>
      </c>
      <c r="E13" s="49" t="s">
        <v>41</v>
      </c>
      <c r="F13" s="49" t="s">
        <v>42</v>
      </c>
      <c r="G13" s="7"/>
      <c r="H13" s="7"/>
      <c r="I13" s="7"/>
      <c r="J13" s="7"/>
      <c r="K13" s="7"/>
      <c r="L13" s="7"/>
      <c r="M13" s="7"/>
      <c r="N13" s="7"/>
      <c r="O13" s="7"/>
      <c r="P13" s="7"/>
      <c r="Q13" s="7"/>
      <c r="R13" s="7"/>
      <c r="S13" s="7"/>
      <c r="T13" s="7"/>
      <c r="U13" s="7"/>
      <c r="V13" s="7"/>
      <c r="W13" s="7"/>
      <c r="X13" s="7"/>
      <c r="Y13" s="7"/>
      <c r="Z13" s="7"/>
    </row>
    <row r="14" spans="1:26" ht="12.75" customHeight="1">
      <c r="A14" s="7"/>
      <c r="B14" s="47">
        <v>6</v>
      </c>
      <c r="C14" s="48" t="s">
        <v>43</v>
      </c>
      <c r="D14" s="49" t="s">
        <v>29</v>
      </c>
      <c r="E14" s="49" t="s">
        <v>44</v>
      </c>
      <c r="F14" s="49" t="s">
        <v>45</v>
      </c>
      <c r="G14" s="7"/>
      <c r="H14" s="7"/>
      <c r="I14" s="7"/>
      <c r="J14" s="7"/>
      <c r="K14" s="7"/>
      <c r="L14" s="7"/>
      <c r="M14" s="7"/>
      <c r="N14" s="7"/>
      <c r="O14" s="7"/>
      <c r="P14" s="7"/>
      <c r="Q14" s="7"/>
      <c r="R14" s="7"/>
      <c r="S14" s="7"/>
      <c r="T14" s="7"/>
      <c r="U14" s="7"/>
      <c r="V14" s="7"/>
      <c r="W14" s="7"/>
      <c r="X14" s="7"/>
      <c r="Y14" s="7"/>
      <c r="Z14" s="7"/>
    </row>
    <row r="15" spans="1:26" ht="12.75" customHeight="1">
      <c r="A15" s="7"/>
      <c r="B15" s="47">
        <v>7</v>
      </c>
      <c r="C15" s="48" t="s">
        <v>46</v>
      </c>
      <c r="D15" s="49" t="s">
        <v>29</v>
      </c>
      <c r="E15" s="49" t="s">
        <v>47</v>
      </c>
      <c r="F15" s="49" t="s">
        <v>45</v>
      </c>
      <c r="G15" s="7"/>
      <c r="H15" s="7"/>
      <c r="I15" s="7"/>
      <c r="J15" s="7"/>
      <c r="K15" s="7"/>
      <c r="L15" s="7"/>
      <c r="M15" s="7"/>
      <c r="N15" s="7"/>
      <c r="O15" s="7"/>
      <c r="P15" s="7"/>
      <c r="Q15" s="7"/>
      <c r="R15" s="7"/>
      <c r="S15" s="7"/>
      <c r="T15" s="7"/>
      <c r="U15" s="7"/>
      <c r="V15" s="7"/>
      <c r="W15" s="7"/>
      <c r="X15" s="7"/>
      <c r="Y15" s="7"/>
      <c r="Z15" s="7"/>
    </row>
    <row r="16" spans="1:26" ht="12.75" customHeight="1">
      <c r="A16" s="7"/>
      <c r="B16" s="47">
        <v>8</v>
      </c>
      <c r="C16" s="48" t="s">
        <v>48</v>
      </c>
      <c r="D16" s="49" t="s">
        <v>29</v>
      </c>
      <c r="E16" s="49" t="s">
        <v>49</v>
      </c>
      <c r="F16" s="49" t="s">
        <v>50</v>
      </c>
      <c r="G16" s="7"/>
      <c r="H16" s="7"/>
      <c r="I16" s="7"/>
      <c r="J16" s="7"/>
      <c r="K16" s="7"/>
      <c r="L16" s="7"/>
      <c r="M16" s="7"/>
      <c r="N16" s="7"/>
      <c r="O16" s="7"/>
      <c r="P16" s="7"/>
      <c r="Q16" s="7"/>
      <c r="R16" s="7"/>
      <c r="S16" s="7"/>
      <c r="T16" s="7"/>
      <c r="U16" s="7"/>
      <c r="V16" s="7"/>
      <c r="W16" s="7"/>
      <c r="X16" s="7"/>
      <c r="Y16" s="7"/>
      <c r="Z16" s="7"/>
    </row>
    <row r="17" spans="1:26" ht="12.75" customHeight="1">
      <c r="A17" s="7"/>
      <c r="B17" s="47">
        <v>9</v>
      </c>
      <c r="C17" s="48" t="s">
        <v>51</v>
      </c>
      <c r="D17" s="49" t="s">
        <v>52</v>
      </c>
      <c r="E17" s="49" t="s">
        <v>53</v>
      </c>
      <c r="F17" s="49" t="s">
        <v>54</v>
      </c>
      <c r="G17" s="7"/>
      <c r="H17" s="7"/>
      <c r="I17" s="7"/>
      <c r="J17" s="7"/>
      <c r="K17" s="7"/>
      <c r="L17" s="7"/>
      <c r="M17" s="7"/>
      <c r="N17" s="7"/>
      <c r="O17" s="7"/>
      <c r="P17" s="7"/>
      <c r="Q17" s="7"/>
      <c r="R17" s="7"/>
      <c r="S17" s="7"/>
      <c r="T17" s="7"/>
      <c r="U17" s="7"/>
      <c r="V17" s="7"/>
      <c r="W17" s="7"/>
      <c r="X17" s="7"/>
      <c r="Y17" s="7"/>
      <c r="Z17" s="7"/>
    </row>
    <row r="18" spans="1:26" ht="12.75" customHeight="1">
      <c r="A18" s="7"/>
      <c r="B18" s="47">
        <v>10</v>
      </c>
      <c r="C18" s="48" t="s">
        <v>55</v>
      </c>
      <c r="D18" s="49" t="s">
        <v>52</v>
      </c>
      <c r="E18" s="49" t="s">
        <v>56</v>
      </c>
      <c r="F18" s="49" t="s">
        <v>57</v>
      </c>
      <c r="G18" s="7"/>
      <c r="H18" s="7"/>
      <c r="I18" s="7"/>
      <c r="J18" s="7"/>
      <c r="K18" s="7"/>
      <c r="L18" s="7"/>
      <c r="M18" s="7"/>
      <c r="N18" s="7"/>
      <c r="O18" s="7"/>
      <c r="P18" s="7"/>
      <c r="Q18" s="7"/>
      <c r="R18" s="7"/>
      <c r="S18" s="7"/>
      <c r="T18" s="7"/>
      <c r="U18" s="7"/>
      <c r="V18" s="7"/>
      <c r="W18" s="7"/>
      <c r="X18" s="7"/>
      <c r="Y18" s="7"/>
      <c r="Z18" s="7"/>
    </row>
    <row r="19" spans="1:26" ht="12.75" customHeight="1">
      <c r="A19" s="7"/>
      <c r="B19" s="47">
        <v>11</v>
      </c>
      <c r="C19" s="48" t="s">
        <v>58</v>
      </c>
      <c r="D19" s="49" t="s">
        <v>52</v>
      </c>
      <c r="E19" s="49" t="s">
        <v>59</v>
      </c>
      <c r="F19" s="49" t="s">
        <v>60</v>
      </c>
      <c r="G19" s="7"/>
      <c r="H19" s="7"/>
      <c r="I19" s="7"/>
      <c r="J19" s="7"/>
      <c r="K19" s="7"/>
      <c r="L19" s="7"/>
      <c r="M19" s="7"/>
      <c r="N19" s="7"/>
      <c r="O19" s="7"/>
      <c r="P19" s="7"/>
      <c r="Q19" s="7"/>
      <c r="R19" s="7"/>
      <c r="S19" s="7"/>
      <c r="T19" s="7"/>
      <c r="U19" s="7"/>
      <c r="V19" s="7"/>
      <c r="W19" s="7"/>
      <c r="X19" s="7"/>
      <c r="Y19" s="7"/>
      <c r="Z19" s="7"/>
    </row>
    <row r="20" spans="1:26" ht="12.75" customHeight="1">
      <c r="A20" s="7"/>
      <c r="B20" s="47">
        <v>12</v>
      </c>
      <c r="C20" s="48" t="s">
        <v>61</v>
      </c>
      <c r="D20" s="49" t="s">
        <v>52</v>
      </c>
      <c r="E20" s="49" t="s">
        <v>62</v>
      </c>
      <c r="F20" s="49" t="s">
        <v>54</v>
      </c>
      <c r="G20" s="7"/>
      <c r="H20" s="7"/>
      <c r="I20" s="7"/>
      <c r="J20" s="7"/>
      <c r="K20" s="7"/>
      <c r="L20" s="7"/>
      <c r="M20" s="7"/>
      <c r="N20" s="7"/>
      <c r="O20" s="7"/>
      <c r="P20" s="7"/>
      <c r="Q20" s="7"/>
      <c r="R20" s="7"/>
      <c r="S20" s="7"/>
      <c r="T20" s="7"/>
      <c r="U20" s="7"/>
      <c r="V20" s="7"/>
      <c r="W20" s="7"/>
      <c r="X20" s="7"/>
      <c r="Y20" s="7"/>
      <c r="Z20" s="7"/>
    </row>
    <row r="21" spans="1:26" ht="12.75" customHeight="1">
      <c r="A21" s="7"/>
      <c r="B21" s="47">
        <v>13</v>
      </c>
      <c r="C21" s="48" t="s">
        <v>63</v>
      </c>
      <c r="D21" s="49" t="s">
        <v>52</v>
      </c>
      <c r="E21" s="49" t="s">
        <v>64</v>
      </c>
      <c r="F21" s="49" t="s">
        <v>65</v>
      </c>
      <c r="G21" s="7"/>
      <c r="H21" s="7"/>
      <c r="I21" s="7"/>
      <c r="J21" s="7"/>
      <c r="K21" s="7"/>
      <c r="L21" s="7"/>
      <c r="M21" s="7"/>
      <c r="N21" s="7"/>
      <c r="O21" s="7"/>
      <c r="P21" s="7"/>
      <c r="Q21" s="7"/>
      <c r="R21" s="7"/>
      <c r="S21" s="7"/>
      <c r="T21" s="7"/>
      <c r="U21" s="7"/>
      <c r="V21" s="7"/>
      <c r="W21" s="7"/>
      <c r="X21" s="7"/>
      <c r="Y21" s="7"/>
      <c r="Z21" s="7"/>
    </row>
    <row r="22" spans="1:26" ht="12.75" customHeight="1">
      <c r="A22" s="7"/>
      <c r="B22" s="47">
        <v>14</v>
      </c>
      <c r="C22" s="49" t="s">
        <v>66</v>
      </c>
      <c r="D22" s="49" t="s">
        <v>52</v>
      </c>
      <c r="E22" s="49" t="s">
        <v>67</v>
      </c>
      <c r="F22" s="49" t="s">
        <v>68</v>
      </c>
      <c r="G22" s="7"/>
      <c r="H22" s="7"/>
      <c r="I22" s="7"/>
      <c r="J22" s="7"/>
      <c r="K22" s="7"/>
      <c r="L22" s="7"/>
      <c r="M22" s="7"/>
      <c r="N22" s="7"/>
      <c r="O22" s="7"/>
      <c r="P22" s="7"/>
      <c r="Q22" s="7"/>
      <c r="R22" s="7"/>
      <c r="S22" s="7"/>
      <c r="T22" s="7"/>
      <c r="U22" s="7"/>
      <c r="V22" s="7"/>
      <c r="W22" s="7"/>
      <c r="X22" s="7"/>
      <c r="Y22" s="7"/>
      <c r="Z22" s="7"/>
    </row>
    <row r="23" spans="1:26" ht="12.75" customHeight="1">
      <c r="A23" s="7"/>
      <c r="B23" s="47">
        <v>15</v>
      </c>
      <c r="C23" s="49" t="s">
        <v>69</v>
      </c>
      <c r="D23" s="49" t="s">
        <v>52</v>
      </c>
      <c r="E23" s="49" t="s">
        <v>70</v>
      </c>
      <c r="F23" s="49" t="s">
        <v>71</v>
      </c>
      <c r="G23" s="7"/>
      <c r="H23" s="7"/>
      <c r="I23" s="7"/>
      <c r="J23" s="7"/>
      <c r="K23" s="7"/>
      <c r="L23" s="7"/>
      <c r="M23" s="7"/>
      <c r="N23" s="7"/>
      <c r="O23" s="7"/>
      <c r="P23" s="7"/>
      <c r="Q23" s="7"/>
      <c r="R23" s="7"/>
      <c r="S23" s="7"/>
      <c r="T23" s="7"/>
      <c r="U23" s="7"/>
      <c r="V23" s="7"/>
      <c r="W23" s="7"/>
      <c r="X23" s="7"/>
      <c r="Y23" s="7"/>
      <c r="Z23" s="7"/>
    </row>
    <row r="24" spans="1:26" ht="12.75" customHeight="1">
      <c r="A24" s="7"/>
      <c r="B24" s="47">
        <v>16</v>
      </c>
      <c r="C24" s="49" t="s">
        <v>72</v>
      </c>
      <c r="D24" s="49" t="s">
        <v>52</v>
      </c>
      <c r="E24" s="49" t="s">
        <v>73</v>
      </c>
      <c r="F24" s="49" t="s">
        <v>74</v>
      </c>
      <c r="G24" s="7"/>
      <c r="H24" s="7"/>
      <c r="I24" s="7"/>
      <c r="J24" s="7"/>
      <c r="K24" s="7"/>
      <c r="L24" s="7"/>
      <c r="M24" s="7"/>
      <c r="N24" s="7"/>
      <c r="O24" s="7"/>
      <c r="P24" s="7"/>
      <c r="Q24" s="7"/>
      <c r="R24" s="7"/>
      <c r="S24" s="7"/>
      <c r="T24" s="7"/>
      <c r="U24" s="7"/>
      <c r="V24" s="7"/>
      <c r="W24" s="7"/>
      <c r="X24" s="7"/>
      <c r="Y24" s="7"/>
      <c r="Z24" s="7"/>
    </row>
    <row r="25" spans="1:26" ht="12.75" customHeight="1">
      <c r="A25" s="7"/>
      <c r="B25" s="47">
        <v>17</v>
      </c>
      <c r="C25" s="49" t="s">
        <v>75</v>
      </c>
      <c r="D25" s="49" t="s">
        <v>76</v>
      </c>
      <c r="E25" s="49" t="s">
        <v>77</v>
      </c>
      <c r="F25" s="49" t="s">
        <v>78</v>
      </c>
      <c r="G25" s="7"/>
      <c r="H25" s="7"/>
      <c r="I25" s="7"/>
      <c r="J25" s="7"/>
      <c r="K25" s="7"/>
      <c r="L25" s="7"/>
      <c r="M25" s="7"/>
      <c r="N25" s="7"/>
      <c r="O25" s="7"/>
      <c r="P25" s="7"/>
      <c r="Q25" s="7"/>
      <c r="R25" s="7"/>
      <c r="S25" s="7"/>
      <c r="T25" s="7"/>
      <c r="U25" s="7"/>
      <c r="V25" s="7"/>
      <c r="W25" s="7"/>
      <c r="X25" s="7"/>
      <c r="Y25" s="7"/>
      <c r="Z25" s="7"/>
    </row>
    <row r="26" spans="1:26" ht="12.75" customHeight="1">
      <c r="A26" s="7"/>
      <c r="B26" s="47">
        <v>18</v>
      </c>
      <c r="C26" s="49" t="s">
        <v>79</v>
      </c>
      <c r="D26" s="49" t="s">
        <v>76</v>
      </c>
      <c r="E26" s="49" t="s">
        <v>80</v>
      </c>
      <c r="F26" s="49" t="s">
        <v>81</v>
      </c>
      <c r="G26" s="7"/>
      <c r="H26" s="7"/>
      <c r="I26" s="7"/>
      <c r="J26" s="7"/>
      <c r="K26" s="7"/>
      <c r="L26" s="7"/>
      <c r="M26" s="7"/>
      <c r="N26" s="7"/>
      <c r="O26" s="7"/>
      <c r="P26" s="7"/>
      <c r="Q26" s="7"/>
      <c r="R26" s="7"/>
      <c r="S26" s="7"/>
      <c r="T26" s="7"/>
      <c r="U26" s="7"/>
      <c r="V26" s="7"/>
      <c r="W26" s="7"/>
      <c r="X26" s="7"/>
      <c r="Y26" s="7"/>
      <c r="Z26" s="7"/>
    </row>
    <row r="27" spans="1:26" ht="12.75" customHeight="1">
      <c r="A27" s="7"/>
      <c r="B27" s="47">
        <v>19</v>
      </c>
      <c r="C27" s="49" t="s">
        <v>82</v>
      </c>
      <c r="D27" s="49" t="s">
        <v>76</v>
      </c>
      <c r="E27" s="49" t="s">
        <v>83</v>
      </c>
      <c r="F27" s="49" t="s">
        <v>84</v>
      </c>
      <c r="G27" s="7"/>
      <c r="H27" s="7"/>
      <c r="I27" s="7"/>
      <c r="J27" s="7"/>
      <c r="K27" s="7"/>
      <c r="L27" s="7"/>
      <c r="M27" s="7"/>
      <c r="N27" s="7"/>
      <c r="O27" s="7"/>
      <c r="P27" s="7"/>
      <c r="Q27" s="7"/>
      <c r="R27" s="7"/>
      <c r="S27" s="7"/>
      <c r="T27" s="7"/>
      <c r="U27" s="7"/>
      <c r="V27" s="7"/>
      <c r="W27" s="7"/>
      <c r="X27" s="7"/>
      <c r="Y27" s="7"/>
      <c r="Z27" s="7"/>
    </row>
    <row r="28" spans="1:26" ht="12.75" customHeight="1">
      <c r="A28" s="7"/>
      <c r="B28" s="47">
        <v>21</v>
      </c>
      <c r="C28" s="49" t="s">
        <v>85</v>
      </c>
      <c r="D28" s="49" t="s">
        <v>76</v>
      </c>
      <c r="E28" s="49" t="s">
        <v>86</v>
      </c>
      <c r="F28" s="49" t="s">
        <v>87</v>
      </c>
      <c r="G28" s="7"/>
      <c r="H28" s="7"/>
      <c r="I28" s="7"/>
      <c r="J28" s="7"/>
      <c r="K28" s="7"/>
      <c r="L28" s="7"/>
      <c r="M28" s="7"/>
      <c r="N28" s="7"/>
      <c r="O28" s="7"/>
      <c r="P28" s="7"/>
      <c r="Q28" s="7"/>
      <c r="R28" s="7"/>
      <c r="S28" s="7"/>
      <c r="T28" s="7"/>
      <c r="U28" s="7"/>
      <c r="V28" s="7"/>
      <c r="W28" s="7"/>
      <c r="X28" s="7"/>
      <c r="Y28" s="7"/>
      <c r="Z28" s="7"/>
    </row>
    <row r="29" spans="1:26" ht="12.75" customHeight="1">
      <c r="A29" s="7"/>
      <c r="B29" s="47">
        <v>22</v>
      </c>
      <c r="C29" s="49" t="s">
        <v>88</v>
      </c>
      <c r="D29" s="49" t="s">
        <v>76</v>
      </c>
      <c r="E29" s="49" t="s">
        <v>89</v>
      </c>
      <c r="F29" s="49" t="s">
        <v>90</v>
      </c>
      <c r="G29" s="7"/>
      <c r="H29" s="7"/>
      <c r="I29" s="7"/>
      <c r="J29" s="7"/>
      <c r="K29" s="7"/>
      <c r="L29" s="7"/>
      <c r="M29" s="7"/>
      <c r="N29" s="7"/>
      <c r="O29" s="7"/>
      <c r="P29" s="7"/>
      <c r="Q29" s="7"/>
      <c r="R29" s="7"/>
      <c r="S29" s="7"/>
      <c r="T29" s="7"/>
      <c r="U29" s="7"/>
      <c r="V29" s="7"/>
      <c r="W29" s="7"/>
      <c r="X29" s="7"/>
      <c r="Y29" s="7"/>
      <c r="Z29" s="7"/>
    </row>
    <row r="30" spans="1:26" ht="12.75" customHeight="1">
      <c r="A30" s="7"/>
      <c r="B30" s="47">
        <v>23</v>
      </c>
      <c r="C30" s="49" t="s">
        <v>91</v>
      </c>
      <c r="D30" s="49" t="s">
        <v>76</v>
      </c>
      <c r="E30" s="49" t="s">
        <v>92</v>
      </c>
      <c r="F30" s="49" t="s">
        <v>93</v>
      </c>
      <c r="G30" s="7"/>
      <c r="H30" s="7"/>
      <c r="I30" s="7"/>
      <c r="J30" s="7"/>
      <c r="K30" s="7"/>
      <c r="L30" s="7"/>
      <c r="M30" s="7"/>
      <c r="N30" s="7"/>
      <c r="O30" s="7"/>
      <c r="P30" s="7"/>
      <c r="Q30" s="7"/>
      <c r="R30" s="7"/>
      <c r="S30" s="7"/>
      <c r="T30" s="7"/>
      <c r="U30" s="7"/>
      <c r="V30" s="7"/>
      <c r="W30" s="7"/>
      <c r="X30" s="7"/>
      <c r="Y30" s="7"/>
      <c r="Z30" s="7"/>
    </row>
    <row r="31" spans="1:26" ht="12.75" customHeight="1">
      <c r="A31" s="7"/>
      <c r="B31" s="47">
        <v>24</v>
      </c>
      <c r="C31" s="49" t="s">
        <v>94</v>
      </c>
      <c r="D31" s="49" t="s">
        <v>76</v>
      </c>
      <c r="E31" s="49" t="s">
        <v>95</v>
      </c>
      <c r="F31" s="49" t="s">
        <v>96</v>
      </c>
      <c r="G31" s="7"/>
      <c r="H31" s="7"/>
      <c r="I31" s="7"/>
      <c r="J31" s="7"/>
      <c r="K31" s="7"/>
      <c r="L31" s="7"/>
      <c r="M31" s="7"/>
      <c r="N31" s="7"/>
      <c r="O31" s="7"/>
      <c r="P31" s="7"/>
      <c r="Q31" s="7"/>
      <c r="R31" s="7"/>
      <c r="S31" s="7"/>
      <c r="T31" s="7"/>
      <c r="U31" s="7"/>
      <c r="V31" s="7"/>
      <c r="W31" s="7"/>
      <c r="X31" s="7"/>
      <c r="Y31" s="7"/>
      <c r="Z31" s="7"/>
    </row>
    <row r="32" spans="1:26" ht="12.75" customHeight="1">
      <c r="A32" s="7"/>
      <c r="B32" s="47">
        <v>25</v>
      </c>
      <c r="C32" s="49" t="s">
        <v>97</v>
      </c>
      <c r="D32" s="49" t="s">
        <v>76</v>
      </c>
      <c r="E32" s="49" t="s">
        <v>98</v>
      </c>
      <c r="F32" s="49" t="s">
        <v>99</v>
      </c>
      <c r="G32" s="7"/>
      <c r="H32" s="7"/>
      <c r="I32" s="7"/>
      <c r="J32" s="7"/>
      <c r="K32" s="7"/>
      <c r="L32" s="7"/>
      <c r="M32" s="7"/>
      <c r="N32" s="7"/>
      <c r="O32" s="7"/>
      <c r="P32" s="7"/>
      <c r="Q32" s="7"/>
      <c r="R32" s="7"/>
      <c r="S32" s="7"/>
      <c r="T32" s="7"/>
      <c r="U32" s="7"/>
      <c r="V32" s="7"/>
      <c r="W32" s="7"/>
      <c r="X32" s="7"/>
      <c r="Y32" s="7"/>
      <c r="Z32" s="7"/>
    </row>
    <row r="33" spans="1:26" ht="12.75" customHeight="1">
      <c r="A33" s="7"/>
      <c r="B33" s="47">
        <v>26</v>
      </c>
      <c r="C33" s="49" t="s">
        <v>100</v>
      </c>
      <c r="D33" s="49" t="s">
        <v>76</v>
      </c>
      <c r="E33" s="49" t="s">
        <v>101</v>
      </c>
      <c r="F33" s="49" t="s">
        <v>102</v>
      </c>
      <c r="G33" s="7"/>
      <c r="H33" s="7"/>
      <c r="I33" s="7"/>
      <c r="J33" s="7"/>
      <c r="K33" s="7"/>
      <c r="L33" s="7"/>
      <c r="M33" s="7"/>
      <c r="N33" s="7"/>
      <c r="O33" s="7"/>
      <c r="P33" s="7"/>
      <c r="Q33" s="7"/>
      <c r="R33" s="7"/>
      <c r="S33" s="7"/>
      <c r="T33" s="7"/>
      <c r="U33" s="7"/>
      <c r="V33" s="7"/>
      <c r="W33" s="7"/>
      <c r="X33" s="7"/>
      <c r="Y33" s="7"/>
      <c r="Z33" s="7"/>
    </row>
    <row r="34" spans="1:26" ht="12.75" customHeight="1">
      <c r="A34" s="7"/>
      <c r="B34" s="47">
        <v>27</v>
      </c>
      <c r="C34" s="49" t="s">
        <v>103</v>
      </c>
      <c r="D34" s="49" t="s">
        <v>104</v>
      </c>
      <c r="E34" s="49" t="s">
        <v>105</v>
      </c>
      <c r="F34" s="49" t="s">
        <v>106</v>
      </c>
      <c r="G34" s="7"/>
      <c r="H34" s="7"/>
      <c r="I34" s="7"/>
      <c r="J34" s="7"/>
      <c r="K34" s="7"/>
      <c r="L34" s="7"/>
      <c r="M34" s="7"/>
      <c r="N34" s="7"/>
      <c r="O34" s="7"/>
      <c r="P34" s="7"/>
      <c r="Q34" s="7"/>
      <c r="R34" s="7"/>
      <c r="S34" s="7"/>
      <c r="T34" s="7"/>
      <c r="U34" s="7"/>
      <c r="V34" s="7"/>
      <c r="W34" s="7"/>
      <c r="X34" s="7"/>
      <c r="Y34" s="7"/>
      <c r="Z34" s="7"/>
    </row>
    <row r="35" spans="1:26" ht="12.75" customHeight="1">
      <c r="A35" s="7"/>
      <c r="B35" s="47">
        <v>28</v>
      </c>
      <c r="C35" s="49" t="s">
        <v>107</v>
      </c>
      <c r="D35" s="49" t="s">
        <v>104</v>
      </c>
      <c r="E35" s="49" t="s">
        <v>108</v>
      </c>
      <c r="F35" s="49" t="s">
        <v>109</v>
      </c>
      <c r="G35" s="7"/>
      <c r="H35" s="7"/>
      <c r="I35" s="7"/>
      <c r="J35" s="7"/>
      <c r="K35" s="7"/>
      <c r="L35" s="7"/>
      <c r="M35" s="7"/>
      <c r="N35" s="7"/>
      <c r="O35" s="7"/>
      <c r="P35" s="7"/>
      <c r="Q35" s="7"/>
      <c r="R35" s="7"/>
      <c r="S35" s="7"/>
      <c r="T35" s="7"/>
      <c r="U35" s="7"/>
      <c r="V35" s="7"/>
      <c r="W35" s="7"/>
      <c r="X35" s="7"/>
      <c r="Y35" s="7"/>
      <c r="Z35" s="7"/>
    </row>
    <row r="36" spans="1:26" ht="12.75" customHeight="1">
      <c r="A36" s="7"/>
      <c r="B36" s="47">
        <v>29</v>
      </c>
      <c r="C36" s="49" t="s">
        <v>110</v>
      </c>
      <c r="D36" s="49" t="s">
        <v>104</v>
      </c>
      <c r="E36" s="49" t="s">
        <v>111</v>
      </c>
      <c r="F36" s="49" t="s">
        <v>112</v>
      </c>
      <c r="G36" s="7"/>
      <c r="H36" s="7"/>
      <c r="I36" s="7"/>
      <c r="J36" s="7"/>
      <c r="K36" s="7"/>
      <c r="L36" s="7"/>
      <c r="M36" s="7"/>
      <c r="N36" s="7"/>
      <c r="O36" s="7"/>
      <c r="P36" s="7"/>
      <c r="Q36" s="7"/>
      <c r="R36" s="7"/>
      <c r="S36" s="7"/>
      <c r="T36" s="7"/>
      <c r="U36" s="7"/>
      <c r="V36" s="7"/>
      <c r="W36" s="7"/>
      <c r="X36" s="7"/>
      <c r="Y36" s="7"/>
      <c r="Z36" s="7"/>
    </row>
    <row r="37" spans="1:26" ht="12.75" customHeight="1">
      <c r="A37" s="7"/>
      <c r="B37" s="47">
        <v>30</v>
      </c>
      <c r="C37" s="49" t="s">
        <v>113</v>
      </c>
      <c r="D37" s="49" t="s">
        <v>104</v>
      </c>
      <c r="E37" s="49" t="s">
        <v>114</v>
      </c>
      <c r="F37" s="49" t="s">
        <v>115</v>
      </c>
      <c r="G37" s="7"/>
      <c r="H37" s="7"/>
      <c r="I37" s="7"/>
      <c r="J37" s="7"/>
      <c r="K37" s="7"/>
      <c r="L37" s="7"/>
      <c r="M37" s="7"/>
      <c r="N37" s="7"/>
      <c r="O37" s="7"/>
      <c r="P37" s="7"/>
      <c r="Q37" s="7"/>
      <c r="R37" s="7"/>
      <c r="S37" s="7"/>
      <c r="T37" s="7"/>
      <c r="U37" s="7"/>
      <c r="V37" s="7"/>
      <c r="W37" s="7"/>
      <c r="X37" s="7"/>
      <c r="Y37" s="7"/>
      <c r="Z37" s="7"/>
    </row>
    <row r="38" spans="1:26" ht="12.75" customHeight="1">
      <c r="A38" s="7"/>
      <c r="B38" s="47">
        <v>31</v>
      </c>
      <c r="C38" s="49" t="s">
        <v>116</v>
      </c>
      <c r="D38" s="49" t="s">
        <v>104</v>
      </c>
      <c r="E38" s="49" t="s">
        <v>117</v>
      </c>
      <c r="F38" s="49" t="s">
        <v>118</v>
      </c>
      <c r="G38" s="7"/>
      <c r="H38" s="7"/>
      <c r="I38" s="7"/>
      <c r="J38" s="7"/>
      <c r="K38" s="7"/>
      <c r="L38" s="7"/>
      <c r="M38" s="7"/>
      <c r="N38" s="7"/>
      <c r="O38" s="7"/>
      <c r="P38" s="7"/>
      <c r="Q38" s="7"/>
      <c r="R38" s="7"/>
      <c r="S38" s="7"/>
      <c r="T38" s="7"/>
      <c r="U38" s="7"/>
      <c r="V38" s="7"/>
      <c r="W38" s="7"/>
      <c r="X38" s="7"/>
      <c r="Y38" s="7"/>
      <c r="Z38" s="7"/>
    </row>
    <row r="39" spans="1:26" ht="12.75" customHeight="1">
      <c r="A39" s="7"/>
      <c r="B39" s="47">
        <v>32</v>
      </c>
      <c r="C39" s="49" t="s">
        <v>119</v>
      </c>
      <c r="D39" s="49" t="s">
        <v>104</v>
      </c>
      <c r="E39" s="49" t="s">
        <v>120</v>
      </c>
      <c r="F39" s="49" t="s">
        <v>121</v>
      </c>
      <c r="G39" s="7"/>
      <c r="H39" s="7"/>
      <c r="I39" s="7"/>
      <c r="J39" s="7"/>
      <c r="K39" s="7"/>
      <c r="L39" s="7"/>
      <c r="M39" s="7"/>
      <c r="N39" s="7"/>
      <c r="O39" s="7"/>
      <c r="P39" s="7"/>
      <c r="Q39" s="7"/>
      <c r="R39" s="7"/>
      <c r="S39" s="7"/>
      <c r="T39" s="7"/>
      <c r="U39" s="7"/>
      <c r="V39" s="7"/>
      <c r="W39" s="7"/>
      <c r="X39" s="7"/>
      <c r="Y39" s="7"/>
      <c r="Z39" s="7"/>
    </row>
    <row r="40" spans="1:26" ht="12.75" customHeight="1">
      <c r="A40" s="7"/>
      <c r="B40" s="47">
        <v>34</v>
      </c>
      <c r="C40" s="49" t="s">
        <v>122</v>
      </c>
      <c r="D40" s="49" t="s">
        <v>104</v>
      </c>
      <c r="E40" s="49" t="s">
        <v>123</v>
      </c>
      <c r="F40" s="49" t="s">
        <v>124</v>
      </c>
      <c r="G40" s="7"/>
      <c r="H40" s="7"/>
      <c r="I40" s="7"/>
      <c r="J40" s="7"/>
      <c r="K40" s="7"/>
      <c r="L40" s="7"/>
      <c r="M40" s="7"/>
      <c r="N40" s="7"/>
      <c r="O40" s="7"/>
      <c r="P40" s="7"/>
      <c r="Q40" s="7"/>
      <c r="R40" s="7"/>
      <c r="S40" s="7"/>
      <c r="T40" s="7"/>
      <c r="U40" s="7"/>
      <c r="V40" s="7"/>
      <c r="W40" s="7"/>
      <c r="X40" s="7"/>
      <c r="Y40" s="7"/>
      <c r="Z40" s="7"/>
    </row>
    <row r="41" spans="1:26" ht="12.75" customHeight="1">
      <c r="A41" s="7"/>
      <c r="B41" s="47">
        <v>35</v>
      </c>
      <c r="C41" s="49" t="s">
        <v>125</v>
      </c>
      <c r="D41" s="49" t="s">
        <v>104</v>
      </c>
      <c r="E41" s="49" t="s">
        <v>126</v>
      </c>
      <c r="F41" s="49" t="s">
        <v>127</v>
      </c>
      <c r="G41" s="7"/>
      <c r="H41" s="7"/>
      <c r="I41" s="7"/>
      <c r="J41" s="7"/>
      <c r="K41" s="7"/>
      <c r="L41" s="7"/>
      <c r="M41" s="7"/>
      <c r="N41" s="7"/>
      <c r="O41" s="7"/>
      <c r="P41" s="7"/>
      <c r="Q41" s="7"/>
      <c r="R41" s="7"/>
      <c r="S41" s="7"/>
      <c r="T41" s="7"/>
      <c r="U41" s="7"/>
      <c r="V41" s="7"/>
      <c r="W41" s="7"/>
      <c r="X41" s="7"/>
      <c r="Y41" s="7"/>
      <c r="Z41" s="7"/>
    </row>
    <row r="42" spans="1:26" ht="12.75" customHeight="1">
      <c r="A42" s="7"/>
      <c r="B42" s="47">
        <v>36</v>
      </c>
      <c r="C42" s="49" t="s">
        <v>128</v>
      </c>
      <c r="D42" s="49" t="s">
        <v>104</v>
      </c>
      <c r="E42" s="49" t="s">
        <v>129</v>
      </c>
      <c r="F42" s="49" t="s">
        <v>130</v>
      </c>
      <c r="G42" s="7"/>
      <c r="H42" s="7"/>
      <c r="I42" s="7"/>
      <c r="J42" s="7"/>
      <c r="K42" s="7"/>
      <c r="L42" s="7"/>
      <c r="M42" s="7"/>
      <c r="N42" s="7"/>
      <c r="O42" s="7"/>
      <c r="P42" s="7"/>
      <c r="Q42" s="7"/>
      <c r="R42" s="7"/>
      <c r="S42" s="7"/>
      <c r="T42" s="7"/>
      <c r="U42" s="7"/>
      <c r="V42" s="7"/>
      <c r="W42" s="7"/>
      <c r="X42" s="7"/>
      <c r="Y42" s="7"/>
      <c r="Z42" s="7"/>
    </row>
    <row r="43" spans="1:26" ht="12.75" customHeight="1">
      <c r="A43" s="7"/>
      <c r="B43" s="32"/>
      <c r="C43" s="33"/>
      <c r="D43" s="33"/>
      <c r="E43" s="33"/>
      <c r="F43" s="33"/>
      <c r="G43" s="7"/>
      <c r="H43" s="7"/>
      <c r="I43" s="7"/>
      <c r="J43" s="7"/>
      <c r="K43" s="7"/>
      <c r="L43" s="7"/>
      <c r="M43" s="7"/>
      <c r="N43" s="7"/>
      <c r="O43" s="7"/>
      <c r="P43" s="7"/>
      <c r="Q43" s="7"/>
      <c r="R43" s="7"/>
      <c r="S43" s="7"/>
      <c r="T43" s="7"/>
      <c r="U43" s="7"/>
      <c r="V43" s="7"/>
      <c r="W43" s="7"/>
      <c r="X43" s="7"/>
      <c r="Y43" s="7"/>
      <c r="Z43" s="7"/>
    </row>
    <row r="44" spans="1:26" ht="12.75" customHeight="1">
      <c r="A44" s="7"/>
      <c r="B44" s="32"/>
      <c r="C44" s="33"/>
      <c r="D44" s="33"/>
      <c r="E44" s="33"/>
      <c r="F44" s="33"/>
      <c r="G44" s="7"/>
      <c r="H44" s="7"/>
      <c r="I44" s="7"/>
      <c r="J44" s="7"/>
      <c r="K44" s="7"/>
      <c r="L44" s="7"/>
      <c r="M44" s="7"/>
      <c r="N44" s="7"/>
      <c r="O44" s="7"/>
      <c r="P44" s="7"/>
      <c r="Q44" s="7"/>
      <c r="R44" s="7"/>
      <c r="S44" s="7"/>
      <c r="T44" s="7"/>
      <c r="U44" s="7"/>
      <c r="V44" s="7"/>
      <c r="W44" s="7"/>
      <c r="X44" s="7"/>
      <c r="Y44" s="7"/>
      <c r="Z44" s="7"/>
    </row>
    <row r="45" spans="1:26" ht="12.75" customHeight="1">
      <c r="A45" s="7"/>
      <c r="B45" s="32"/>
      <c r="C45" s="33"/>
      <c r="D45" s="33"/>
      <c r="E45" s="33"/>
      <c r="F45" s="33"/>
      <c r="G45" s="7"/>
      <c r="H45" s="7"/>
      <c r="I45" s="7"/>
      <c r="J45" s="7"/>
      <c r="K45" s="7"/>
      <c r="L45" s="7"/>
      <c r="M45" s="7"/>
      <c r="N45" s="7"/>
      <c r="O45" s="7"/>
      <c r="P45" s="7"/>
      <c r="Q45" s="7"/>
      <c r="R45" s="7"/>
      <c r="S45" s="7"/>
      <c r="T45" s="7"/>
      <c r="U45" s="7"/>
      <c r="V45" s="7"/>
      <c r="W45" s="7"/>
      <c r="X45" s="7"/>
      <c r="Y45" s="7"/>
      <c r="Z45" s="7"/>
    </row>
    <row r="46" spans="1:26" ht="12.75" customHeight="1">
      <c r="A46" s="7"/>
      <c r="B46" s="32"/>
      <c r="C46" s="33"/>
      <c r="D46" s="33"/>
      <c r="E46" s="33"/>
      <c r="F46" s="33"/>
      <c r="G46" s="7"/>
      <c r="H46" s="7"/>
      <c r="I46" s="7"/>
      <c r="J46" s="7"/>
      <c r="K46" s="7"/>
      <c r="L46" s="7"/>
      <c r="M46" s="7"/>
      <c r="N46" s="7"/>
      <c r="O46" s="7"/>
      <c r="P46" s="7"/>
      <c r="Q46" s="7"/>
      <c r="R46" s="7"/>
      <c r="S46" s="7"/>
      <c r="T46" s="7"/>
      <c r="U46" s="7"/>
      <c r="V46" s="7"/>
      <c r="W46" s="7"/>
      <c r="X46" s="7"/>
      <c r="Y46" s="7"/>
      <c r="Z46" s="7"/>
    </row>
    <row r="47" spans="1:26" ht="12.75" customHeight="1">
      <c r="A47" s="7"/>
      <c r="B47" s="32"/>
      <c r="C47" s="33"/>
      <c r="D47" s="33"/>
      <c r="E47" s="33"/>
      <c r="F47" s="33"/>
      <c r="G47" s="7"/>
      <c r="H47" s="7"/>
      <c r="I47" s="7"/>
      <c r="J47" s="7"/>
      <c r="K47" s="7"/>
      <c r="L47" s="7"/>
      <c r="M47" s="7"/>
      <c r="N47" s="7"/>
      <c r="O47" s="7"/>
      <c r="P47" s="7"/>
      <c r="Q47" s="7"/>
      <c r="R47" s="7"/>
      <c r="S47" s="7"/>
      <c r="T47" s="7"/>
      <c r="U47" s="7"/>
      <c r="V47" s="7"/>
      <c r="W47" s="7"/>
      <c r="X47" s="7"/>
      <c r="Y47" s="7"/>
      <c r="Z47" s="7"/>
    </row>
    <row r="48" spans="1:26" ht="12.75" customHeight="1">
      <c r="A48" s="7"/>
      <c r="B48" s="32"/>
      <c r="C48" s="33"/>
      <c r="D48" s="33"/>
      <c r="E48" s="33"/>
      <c r="F48" s="33"/>
      <c r="G48" s="7"/>
      <c r="H48" s="7"/>
      <c r="I48" s="7"/>
      <c r="J48" s="7"/>
      <c r="K48" s="7"/>
      <c r="L48" s="7"/>
      <c r="M48" s="7"/>
      <c r="N48" s="7"/>
      <c r="O48" s="7"/>
      <c r="P48" s="7"/>
      <c r="Q48" s="7"/>
      <c r="R48" s="7"/>
      <c r="S48" s="7"/>
      <c r="T48" s="7"/>
      <c r="U48" s="7"/>
      <c r="V48" s="7"/>
      <c r="W48" s="7"/>
      <c r="X48" s="7"/>
      <c r="Y48" s="7"/>
      <c r="Z48" s="7"/>
    </row>
    <row r="49" spans="1:26" ht="12.75" customHeight="1">
      <c r="A49" s="7"/>
      <c r="B49" s="32"/>
      <c r="C49" s="33"/>
      <c r="D49" s="33"/>
      <c r="E49" s="33"/>
      <c r="F49" s="33"/>
      <c r="G49" s="7"/>
      <c r="H49" s="7"/>
      <c r="I49" s="7"/>
      <c r="J49" s="7"/>
      <c r="K49" s="7"/>
      <c r="L49" s="7"/>
      <c r="M49" s="7"/>
      <c r="N49" s="7"/>
      <c r="O49" s="7"/>
      <c r="P49" s="7"/>
      <c r="Q49" s="7"/>
      <c r="R49" s="7"/>
      <c r="S49" s="7"/>
      <c r="T49" s="7"/>
      <c r="U49" s="7"/>
      <c r="V49" s="7"/>
      <c r="W49" s="7"/>
      <c r="X49" s="7"/>
      <c r="Y49" s="7"/>
      <c r="Z49" s="7"/>
    </row>
    <row r="50" spans="1:26" ht="12.75" customHeight="1">
      <c r="A50" s="7"/>
      <c r="B50" s="32"/>
      <c r="C50" s="33"/>
      <c r="D50" s="33"/>
      <c r="E50" s="33"/>
      <c r="F50" s="33"/>
      <c r="G50" s="7"/>
      <c r="H50" s="7"/>
      <c r="I50" s="7"/>
      <c r="J50" s="7"/>
      <c r="K50" s="7"/>
      <c r="L50" s="7"/>
      <c r="M50" s="7"/>
      <c r="N50" s="7"/>
      <c r="O50" s="7"/>
      <c r="P50" s="7"/>
      <c r="Q50" s="7"/>
      <c r="R50" s="7"/>
      <c r="S50" s="7"/>
      <c r="T50" s="7"/>
      <c r="U50" s="7"/>
      <c r="V50" s="7"/>
      <c r="W50" s="7"/>
      <c r="X50" s="7"/>
      <c r="Y50" s="7"/>
      <c r="Z50" s="7"/>
    </row>
    <row r="51" spans="1:26" ht="12.75" customHeight="1">
      <c r="A51" s="7"/>
      <c r="B51" s="32"/>
      <c r="C51" s="33"/>
      <c r="D51" s="33"/>
      <c r="E51" s="33"/>
      <c r="F51" s="33"/>
      <c r="G51" s="7"/>
      <c r="H51" s="7"/>
      <c r="I51" s="7"/>
      <c r="J51" s="7"/>
      <c r="K51" s="7"/>
      <c r="L51" s="7"/>
      <c r="M51" s="7"/>
      <c r="N51" s="7"/>
      <c r="O51" s="7"/>
      <c r="P51" s="7"/>
      <c r="Q51" s="7"/>
      <c r="R51" s="7"/>
      <c r="S51" s="7"/>
      <c r="T51" s="7"/>
      <c r="U51" s="7"/>
      <c r="V51" s="7"/>
      <c r="W51" s="7"/>
      <c r="X51" s="7"/>
      <c r="Y51" s="7"/>
      <c r="Z51" s="7"/>
    </row>
    <row r="52" spans="1:26" ht="12.75" customHeight="1">
      <c r="A52" s="7"/>
      <c r="B52" s="32"/>
      <c r="C52" s="33"/>
      <c r="D52" s="33"/>
      <c r="E52" s="33"/>
      <c r="F52" s="33"/>
      <c r="G52" s="7"/>
      <c r="H52" s="7"/>
      <c r="I52" s="7"/>
      <c r="J52" s="7"/>
      <c r="K52" s="7"/>
      <c r="L52" s="7"/>
      <c r="M52" s="7"/>
      <c r="N52" s="7"/>
      <c r="O52" s="7"/>
      <c r="P52" s="7"/>
      <c r="Q52" s="7"/>
      <c r="R52" s="7"/>
      <c r="S52" s="7"/>
      <c r="T52" s="7"/>
      <c r="U52" s="7"/>
      <c r="V52" s="7"/>
      <c r="W52" s="7"/>
      <c r="X52" s="7"/>
      <c r="Y52" s="7"/>
      <c r="Z52" s="7"/>
    </row>
    <row r="53" spans="1:26" ht="12.75" customHeight="1">
      <c r="A53" s="7"/>
      <c r="B53" s="32"/>
      <c r="C53" s="33"/>
      <c r="D53" s="33"/>
      <c r="E53" s="33"/>
      <c r="F53" s="33"/>
      <c r="G53" s="7"/>
      <c r="H53" s="7"/>
      <c r="I53" s="7"/>
      <c r="J53" s="7"/>
      <c r="K53" s="7"/>
      <c r="L53" s="7"/>
      <c r="M53" s="7"/>
      <c r="N53" s="7"/>
      <c r="O53" s="7"/>
      <c r="P53" s="7"/>
      <c r="Q53" s="7"/>
      <c r="R53" s="7"/>
      <c r="S53" s="7"/>
      <c r="T53" s="7"/>
      <c r="U53" s="7"/>
      <c r="V53" s="7"/>
      <c r="W53" s="7"/>
      <c r="X53" s="7"/>
      <c r="Y53" s="7"/>
      <c r="Z53" s="7"/>
    </row>
    <row r="54" spans="1:26" ht="12.75" customHeight="1">
      <c r="A54" s="7"/>
      <c r="B54" s="32"/>
      <c r="C54" s="33"/>
      <c r="D54" s="33"/>
      <c r="E54" s="33"/>
      <c r="F54" s="33"/>
      <c r="G54" s="7"/>
      <c r="H54" s="7"/>
      <c r="I54" s="7"/>
      <c r="J54" s="7"/>
      <c r="K54" s="7"/>
      <c r="L54" s="7"/>
      <c r="M54" s="7"/>
      <c r="N54" s="7"/>
      <c r="O54" s="7"/>
      <c r="P54" s="7"/>
      <c r="Q54" s="7"/>
      <c r="R54" s="7"/>
      <c r="S54" s="7"/>
      <c r="T54" s="7"/>
      <c r="U54" s="7"/>
      <c r="V54" s="7"/>
      <c r="W54" s="7"/>
      <c r="X54" s="7"/>
      <c r="Y54" s="7"/>
      <c r="Z54" s="7"/>
    </row>
    <row r="55" spans="1:26" ht="12.75" customHeight="1">
      <c r="A55" s="7"/>
      <c r="B55" s="32"/>
      <c r="C55" s="33"/>
      <c r="D55" s="33"/>
      <c r="E55" s="33"/>
      <c r="F55" s="33"/>
      <c r="G55" s="7"/>
      <c r="H55" s="7"/>
      <c r="I55" s="7"/>
      <c r="J55" s="7"/>
      <c r="K55" s="7"/>
      <c r="L55" s="7"/>
      <c r="M55" s="7"/>
      <c r="N55" s="7"/>
      <c r="O55" s="7"/>
      <c r="P55" s="7"/>
      <c r="Q55" s="7"/>
      <c r="R55" s="7"/>
      <c r="S55" s="7"/>
      <c r="T55" s="7"/>
      <c r="U55" s="7"/>
      <c r="V55" s="7"/>
      <c r="W55" s="7"/>
      <c r="X55" s="7"/>
      <c r="Y55" s="7"/>
      <c r="Z55" s="7"/>
    </row>
    <row r="56" spans="1:26" ht="12.75" customHeight="1">
      <c r="A56" s="7"/>
      <c r="B56" s="32"/>
      <c r="C56" s="33"/>
      <c r="D56" s="33"/>
      <c r="E56" s="33"/>
      <c r="F56" s="33"/>
      <c r="G56" s="7"/>
      <c r="H56" s="7"/>
      <c r="I56" s="7"/>
      <c r="J56" s="7"/>
      <c r="K56" s="7"/>
      <c r="L56" s="7"/>
      <c r="M56" s="7"/>
      <c r="N56" s="7"/>
      <c r="O56" s="7"/>
      <c r="P56" s="7"/>
      <c r="Q56" s="7"/>
      <c r="R56" s="7"/>
      <c r="S56" s="7"/>
      <c r="T56" s="7"/>
      <c r="U56" s="7"/>
      <c r="V56" s="7"/>
      <c r="W56" s="7"/>
      <c r="X56" s="7"/>
      <c r="Y56" s="7"/>
      <c r="Z56" s="7"/>
    </row>
    <row r="57" spans="1:26" ht="12.75" customHeight="1">
      <c r="A57" s="7"/>
      <c r="B57" s="32"/>
      <c r="C57" s="33"/>
      <c r="D57" s="33"/>
      <c r="E57" s="33"/>
      <c r="F57" s="33"/>
      <c r="G57" s="7"/>
      <c r="H57" s="7"/>
      <c r="I57" s="7"/>
      <c r="J57" s="7"/>
      <c r="K57" s="7"/>
      <c r="L57" s="7"/>
      <c r="M57" s="7"/>
      <c r="N57" s="7"/>
      <c r="O57" s="7"/>
      <c r="P57" s="7"/>
      <c r="Q57" s="7"/>
      <c r="R57" s="7"/>
      <c r="S57" s="7"/>
      <c r="T57" s="7"/>
      <c r="U57" s="7"/>
      <c r="V57" s="7"/>
      <c r="W57" s="7"/>
      <c r="X57" s="7"/>
      <c r="Y57" s="7"/>
      <c r="Z57" s="7"/>
    </row>
    <row r="58" spans="1:26" ht="12.75" customHeight="1">
      <c r="A58" s="7"/>
      <c r="B58" s="32"/>
      <c r="C58" s="33"/>
      <c r="D58" s="33"/>
      <c r="E58" s="33"/>
      <c r="F58" s="33"/>
      <c r="G58" s="7"/>
      <c r="H58" s="7"/>
      <c r="I58" s="7"/>
      <c r="J58" s="7"/>
      <c r="K58" s="7"/>
      <c r="L58" s="7"/>
      <c r="M58" s="7"/>
      <c r="N58" s="7"/>
      <c r="O58" s="7"/>
      <c r="P58" s="7"/>
      <c r="Q58" s="7"/>
      <c r="R58" s="7"/>
      <c r="S58" s="7"/>
      <c r="T58" s="7"/>
      <c r="U58" s="7"/>
      <c r="V58" s="7"/>
      <c r="W58" s="7"/>
      <c r="X58" s="7"/>
      <c r="Y58" s="7"/>
      <c r="Z58" s="7"/>
    </row>
    <row r="59" spans="1:26" ht="12.75" customHeight="1">
      <c r="A59" s="7"/>
      <c r="B59" s="32"/>
      <c r="C59" s="33"/>
      <c r="D59" s="33"/>
      <c r="E59" s="33"/>
      <c r="F59" s="33"/>
      <c r="G59" s="7"/>
      <c r="H59" s="7"/>
      <c r="I59" s="7"/>
      <c r="J59" s="7"/>
      <c r="K59" s="7"/>
      <c r="L59" s="7"/>
      <c r="M59" s="7"/>
      <c r="N59" s="7"/>
      <c r="O59" s="7"/>
      <c r="P59" s="7"/>
      <c r="Q59" s="7"/>
      <c r="R59" s="7"/>
      <c r="S59" s="7"/>
      <c r="T59" s="7"/>
      <c r="U59" s="7"/>
      <c r="V59" s="7"/>
      <c r="W59" s="7"/>
      <c r="X59" s="7"/>
      <c r="Y59" s="7"/>
      <c r="Z59" s="7"/>
    </row>
    <row r="60" spans="1:26" ht="12.75" customHeight="1">
      <c r="A60" s="7"/>
      <c r="B60" s="32"/>
      <c r="C60" s="33"/>
      <c r="D60" s="33"/>
      <c r="E60" s="33"/>
      <c r="F60" s="33"/>
      <c r="G60" s="7"/>
      <c r="H60" s="7"/>
      <c r="I60" s="7"/>
      <c r="J60" s="7"/>
      <c r="K60" s="7"/>
      <c r="L60" s="7"/>
      <c r="M60" s="7"/>
      <c r="N60" s="7"/>
      <c r="O60" s="7"/>
      <c r="P60" s="7"/>
      <c r="Q60" s="7"/>
      <c r="R60" s="7"/>
      <c r="S60" s="7"/>
      <c r="T60" s="7"/>
      <c r="U60" s="7"/>
      <c r="V60" s="7"/>
      <c r="W60" s="7"/>
      <c r="X60" s="7"/>
      <c r="Y60" s="7"/>
      <c r="Z60" s="7"/>
    </row>
    <row r="61" spans="1:26" ht="12.75" customHeight="1">
      <c r="A61" s="7"/>
      <c r="B61" s="32"/>
      <c r="C61" s="33"/>
      <c r="D61" s="33"/>
      <c r="E61" s="33"/>
      <c r="F61" s="33"/>
      <c r="G61" s="7"/>
      <c r="H61" s="7"/>
      <c r="I61" s="7"/>
      <c r="J61" s="7"/>
      <c r="K61" s="7"/>
      <c r="L61" s="7"/>
      <c r="M61" s="7"/>
      <c r="N61" s="7"/>
      <c r="O61" s="7"/>
      <c r="P61" s="7"/>
      <c r="Q61" s="7"/>
      <c r="R61" s="7"/>
      <c r="S61" s="7"/>
      <c r="T61" s="7"/>
      <c r="U61" s="7"/>
      <c r="V61" s="7"/>
      <c r="W61" s="7"/>
      <c r="X61" s="7"/>
      <c r="Y61" s="7"/>
      <c r="Z61" s="7"/>
    </row>
    <row r="62" spans="1:26" ht="12.75" customHeight="1">
      <c r="A62" s="7"/>
      <c r="B62" s="32"/>
      <c r="C62" s="33"/>
      <c r="D62" s="33"/>
      <c r="E62" s="33"/>
      <c r="F62" s="33"/>
      <c r="G62" s="7"/>
      <c r="H62" s="7"/>
      <c r="I62" s="7"/>
      <c r="J62" s="7"/>
      <c r="K62" s="7"/>
      <c r="L62" s="7"/>
      <c r="M62" s="7"/>
      <c r="N62" s="7"/>
      <c r="O62" s="7"/>
      <c r="P62" s="7"/>
      <c r="Q62" s="7"/>
      <c r="R62" s="7"/>
      <c r="S62" s="7"/>
      <c r="T62" s="7"/>
      <c r="U62" s="7"/>
      <c r="V62" s="7"/>
      <c r="W62" s="7"/>
      <c r="X62" s="7"/>
      <c r="Y62" s="7"/>
      <c r="Z62" s="7"/>
    </row>
    <row r="63" spans="1:26" ht="12.75" customHeight="1">
      <c r="A63" s="7"/>
      <c r="B63" s="32"/>
      <c r="C63" s="33"/>
      <c r="D63" s="33"/>
      <c r="E63" s="33"/>
      <c r="F63" s="33"/>
      <c r="G63" s="7"/>
      <c r="H63" s="7"/>
      <c r="I63" s="7"/>
      <c r="J63" s="7"/>
      <c r="K63" s="7"/>
      <c r="L63" s="7"/>
      <c r="M63" s="7"/>
      <c r="N63" s="7"/>
      <c r="O63" s="7"/>
      <c r="P63" s="7"/>
      <c r="Q63" s="7"/>
      <c r="R63" s="7"/>
      <c r="S63" s="7"/>
      <c r="T63" s="7"/>
      <c r="U63" s="7"/>
      <c r="V63" s="7"/>
      <c r="W63" s="7"/>
      <c r="X63" s="7"/>
      <c r="Y63" s="7"/>
      <c r="Z63" s="7"/>
    </row>
    <row r="64" spans="1:26" ht="12.75" customHeight="1">
      <c r="A64" s="7"/>
      <c r="B64" s="32"/>
      <c r="C64" s="33"/>
      <c r="D64" s="33"/>
      <c r="E64" s="33"/>
      <c r="F64" s="33"/>
      <c r="G64" s="7"/>
      <c r="H64" s="7"/>
      <c r="I64" s="7"/>
      <c r="J64" s="7"/>
      <c r="K64" s="7"/>
      <c r="L64" s="7"/>
      <c r="M64" s="7"/>
      <c r="N64" s="7"/>
      <c r="O64" s="7"/>
      <c r="P64" s="7"/>
      <c r="Q64" s="7"/>
      <c r="R64" s="7"/>
      <c r="S64" s="7"/>
      <c r="T64" s="7"/>
      <c r="U64" s="7"/>
      <c r="V64" s="7"/>
      <c r="W64" s="7"/>
      <c r="X64" s="7"/>
      <c r="Y64" s="7"/>
      <c r="Z64" s="7"/>
    </row>
    <row r="65" spans="1:26" ht="12.75" customHeight="1">
      <c r="A65" s="7"/>
      <c r="B65" s="32"/>
      <c r="C65" s="33"/>
      <c r="D65" s="33"/>
      <c r="E65" s="33"/>
      <c r="F65" s="33"/>
      <c r="G65" s="7"/>
      <c r="H65" s="7"/>
      <c r="I65" s="7"/>
      <c r="J65" s="7"/>
      <c r="K65" s="7"/>
      <c r="L65" s="7"/>
      <c r="M65" s="7"/>
      <c r="N65" s="7"/>
      <c r="O65" s="7"/>
      <c r="P65" s="7"/>
      <c r="Q65" s="7"/>
      <c r="R65" s="7"/>
      <c r="S65" s="7"/>
      <c r="T65" s="7"/>
      <c r="U65" s="7"/>
      <c r="V65" s="7"/>
      <c r="W65" s="7"/>
      <c r="X65" s="7"/>
      <c r="Y65" s="7"/>
      <c r="Z65" s="7"/>
    </row>
    <row r="66" spans="1:26" ht="12.75" customHeight="1">
      <c r="A66" s="7"/>
      <c r="B66" s="32"/>
      <c r="C66" s="33"/>
      <c r="D66" s="33"/>
      <c r="E66" s="33"/>
      <c r="F66" s="33"/>
      <c r="G66" s="7"/>
      <c r="H66" s="7"/>
      <c r="I66" s="7"/>
      <c r="J66" s="7"/>
      <c r="K66" s="7"/>
      <c r="L66" s="7"/>
      <c r="M66" s="7"/>
      <c r="N66" s="7"/>
      <c r="O66" s="7"/>
      <c r="P66" s="7"/>
      <c r="Q66" s="7"/>
      <c r="R66" s="7"/>
      <c r="S66" s="7"/>
      <c r="T66" s="7"/>
      <c r="U66" s="7"/>
      <c r="V66" s="7"/>
      <c r="W66" s="7"/>
      <c r="X66" s="7"/>
      <c r="Y66" s="7"/>
      <c r="Z66" s="7"/>
    </row>
    <row r="67" spans="1:26" ht="12.75" customHeight="1">
      <c r="A67" s="7"/>
      <c r="B67" s="32"/>
      <c r="C67" s="33"/>
      <c r="D67" s="33"/>
      <c r="E67" s="33"/>
      <c r="F67" s="33"/>
      <c r="G67" s="7"/>
      <c r="H67" s="7"/>
      <c r="I67" s="7"/>
      <c r="J67" s="7"/>
      <c r="K67" s="7"/>
      <c r="L67" s="7"/>
      <c r="M67" s="7"/>
      <c r="N67" s="7"/>
      <c r="O67" s="7"/>
      <c r="P67" s="7"/>
      <c r="Q67" s="7"/>
      <c r="R67" s="7"/>
      <c r="S67" s="7"/>
      <c r="T67" s="7"/>
      <c r="U67" s="7"/>
      <c r="V67" s="7"/>
      <c r="W67" s="7"/>
      <c r="X67" s="7"/>
      <c r="Y67" s="7"/>
      <c r="Z67" s="7"/>
    </row>
    <row r="68" spans="1:26" ht="12.75" customHeight="1">
      <c r="A68" s="7"/>
      <c r="B68" s="32"/>
      <c r="C68" s="33"/>
      <c r="D68" s="33"/>
      <c r="E68" s="33"/>
      <c r="F68" s="33"/>
      <c r="G68" s="7"/>
      <c r="H68" s="7"/>
      <c r="I68" s="7"/>
      <c r="J68" s="7"/>
      <c r="K68" s="7"/>
      <c r="L68" s="7"/>
      <c r="M68" s="7"/>
      <c r="N68" s="7"/>
      <c r="O68" s="7"/>
      <c r="P68" s="7"/>
      <c r="Q68" s="7"/>
      <c r="R68" s="7"/>
      <c r="S68" s="7"/>
      <c r="T68" s="7"/>
      <c r="U68" s="7"/>
      <c r="V68" s="7"/>
      <c r="W68" s="7"/>
      <c r="X68" s="7"/>
      <c r="Y68" s="7"/>
      <c r="Z68" s="7"/>
    </row>
    <row r="69" spans="1:26" ht="12.75" customHeight="1">
      <c r="A69" s="7"/>
      <c r="B69" s="32"/>
      <c r="C69" s="33"/>
      <c r="D69" s="33"/>
      <c r="E69" s="33"/>
      <c r="F69" s="33"/>
      <c r="G69" s="7"/>
      <c r="H69" s="7"/>
      <c r="I69" s="7"/>
      <c r="J69" s="7"/>
      <c r="K69" s="7"/>
      <c r="L69" s="7"/>
      <c r="M69" s="7"/>
      <c r="N69" s="7"/>
      <c r="O69" s="7"/>
      <c r="P69" s="7"/>
      <c r="Q69" s="7"/>
      <c r="R69" s="7"/>
      <c r="S69" s="7"/>
      <c r="T69" s="7"/>
      <c r="U69" s="7"/>
      <c r="V69" s="7"/>
      <c r="W69" s="7"/>
      <c r="X69" s="7"/>
      <c r="Y69" s="7"/>
      <c r="Z69" s="7"/>
    </row>
    <row r="70" spans="1:26" ht="12.75" customHeight="1">
      <c r="A70" s="7"/>
      <c r="B70" s="32"/>
      <c r="C70" s="33"/>
      <c r="D70" s="33"/>
      <c r="E70" s="33"/>
      <c r="F70" s="33"/>
      <c r="G70" s="7"/>
      <c r="H70" s="7"/>
      <c r="I70" s="7"/>
      <c r="J70" s="7"/>
      <c r="K70" s="7"/>
      <c r="L70" s="7"/>
      <c r="M70" s="7"/>
      <c r="N70" s="7"/>
      <c r="O70" s="7"/>
      <c r="P70" s="7"/>
      <c r="Q70" s="7"/>
      <c r="R70" s="7"/>
      <c r="S70" s="7"/>
      <c r="T70" s="7"/>
      <c r="U70" s="7"/>
      <c r="V70" s="7"/>
      <c r="W70" s="7"/>
      <c r="X70" s="7"/>
      <c r="Y70" s="7"/>
      <c r="Z70" s="7"/>
    </row>
    <row r="71" spans="1:26" ht="12.75" customHeight="1">
      <c r="A71" s="7"/>
      <c r="B71" s="32"/>
      <c r="C71" s="33"/>
      <c r="D71" s="33"/>
      <c r="E71" s="33"/>
      <c r="F71" s="33"/>
      <c r="G71" s="7"/>
      <c r="H71" s="7"/>
      <c r="I71" s="7"/>
      <c r="J71" s="7"/>
      <c r="K71" s="7"/>
      <c r="L71" s="7"/>
      <c r="M71" s="7"/>
      <c r="N71" s="7"/>
      <c r="O71" s="7"/>
      <c r="P71" s="7"/>
      <c r="Q71" s="7"/>
      <c r="R71" s="7"/>
      <c r="S71" s="7"/>
      <c r="T71" s="7"/>
      <c r="U71" s="7"/>
      <c r="V71" s="7"/>
      <c r="W71" s="7"/>
      <c r="X71" s="7"/>
      <c r="Y71" s="7"/>
      <c r="Z71" s="7"/>
    </row>
    <row r="72" spans="1:26" ht="12.75" customHeight="1">
      <c r="A72" s="7"/>
      <c r="B72" s="32"/>
      <c r="C72" s="33"/>
      <c r="D72" s="33"/>
      <c r="E72" s="33"/>
      <c r="F72" s="33"/>
      <c r="G72" s="7"/>
      <c r="H72" s="7"/>
      <c r="I72" s="7"/>
      <c r="J72" s="7"/>
      <c r="K72" s="7"/>
      <c r="L72" s="7"/>
      <c r="M72" s="7"/>
      <c r="N72" s="7"/>
      <c r="O72" s="7"/>
      <c r="P72" s="7"/>
      <c r="Q72" s="7"/>
      <c r="R72" s="7"/>
      <c r="S72" s="7"/>
      <c r="T72" s="7"/>
      <c r="U72" s="7"/>
      <c r="V72" s="7"/>
      <c r="W72" s="7"/>
      <c r="X72" s="7"/>
      <c r="Y72" s="7"/>
      <c r="Z72" s="7"/>
    </row>
    <row r="73" spans="1:26" ht="12.75" customHeight="1">
      <c r="A73" s="7"/>
      <c r="B73" s="32"/>
      <c r="C73" s="33"/>
      <c r="D73" s="33"/>
      <c r="E73" s="33"/>
      <c r="F73" s="33"/>
      <c r="G73" s="7"/>
      <c r="H73" s="7"/>
      <c r="I73" s="7"/>
      <c r="J73" s="7"/>
      <c r="K73" s="7"/>
      <c r="L73" s="7"/>
      <c r="M73" s="7"/>
      <c r="N73" s="7"/>
      <c r="O73" s="7"/>
      <c r="P73" s="7"/>
      <c r="Q73" s="7"/>
      <c r="R73" s="7"/>
      <c r="S73" s="7"/>
      <c r="T73" s="7"/>
      <c r="U73" s="7"/>
      <c r="V73" s="7"/>
      <c r="W73" s="7"/>
      <c r="X73" s="7"/>
      <c r="Y73" s="7"/>
      <c r="Z73" s="7"/>
    </row>
    <row r="74" spans="1:26" ht="12.75" customHeight="1">
      <c r="A74" s="7"/>
      <c r="B74" s="32"/>
      <c r="C74" s="33"/>
      <c r="D74" s="33"/>
      <c r="E74" s="33"/>
      <c r="F74" s="33"/>
      <c r="G74" s="7"/>
      <c r="H74" s="7"/>
      <c r="I74" s="7"/>
      <c r="J74" s="7"/>
      <c r="K74" s="7"/>
      <c r="L74" s="7"/>
      <c r="M74" s="7"/>
      <c r="N74" s="7"/>
      <c r="O74" s="7"/>
      <c r="P74" s="7"/>
      <c r="Q74" s="7"/>
      <c r="R74" s="7"/>
      <c r="S74" s="7"/>
      <c r="T74" s="7"/>
      <c r="U74" s="7"/>
      <c r="V74" s="7"/>
      <c r="W74" s="7"/>
      <c r="X74" s="7"/>
      <c r="Y74" s="7"/>
      <c r="Z74" s="7"/>
    </row>
    <row r="75" spans="1:26" ht="12.75" customHeight="1">
      <c r="A75" s="7"/>
      <c r="B75" s="32"/>
      <c r="C75" s="33"/>
      <c r="D75" s="33"/>
      <c r="E75" s="33"/>
      <c r="F75" s="33"/>
      <c r="G75" s="7"/>
      <c r="H75" s="7"/>
      <c r="I75" s="7"/>
      <c r="J75" s="7"/>
      <c r="K75" s="7"/>
      <c r="L75" s="7"/>
      <c r="M75" s="7"/>
      <c r="N75" s="7"/>
      <c r="O75" s="7"/>
      <c r="P75" s="7"/>
      <c r="Q75" s="7"/>
      <c r="R75" s="7"/>
      <c r="S75" s="7"/>
      <c r="T75" s="7"/>
      <c r="U75" s="7"/>
      <c r="V75" s="7"/>
      <c r="W75" s="7"/>
      <c r="X75" s="7"/>
      <c r="Y75" s="7"/>
      <c r="Z75" s="7"/>
    </row>
    <row r="76" spans="1:26" ht="12.75" customHeight="1">
      <c r="A76" s="7"/>
      <c r="B76" s="32"/>
      <c r="C76" s="33"/>
      <c r="D76" s="33"/>
      <c r="E76" s="33"/>
      <c r="F76" s="33"/>
      <c r="G76" s="7"/>
      <c r="H76" s="7"/>
      <c r="I76" s="7"/>
      <c r="J76" s="7"/>
      <c r="K76" s="7"/>
      <c r="L76" s="7"/>
      <c r="M76" s="7"/>
      <c r="N76" s="7"/>
      <c r="O76" s="7"/>
      <c r="P76" s="7"/>
      <c r="Q76" s="7"/>
      <c r="R76" s="7"/>
      <c r="S76" s="7"/>
      <c r="T76" s="7"/>
      <c r="U76" s="7"/>
      <c r="V76" s="7"/>
      <c r="W76" s="7"/>
      <c r="X76" s="7"/>
      <c r="Y76" s="7"/>
      <c r="Z76" s="7"/>
    </row>
    <row r="77" spans="1:26" ht="12.75" customHeight="1">
      <c r="A77" s="7"/>
      <c r="B77" s="32"/>
      <c r="C77" s="33"/>
      <c r="D77" s="33"/>
      <c r="E77" s="33"/>
      <c r="F77" s="33"/>
      <c r="G77" s="7"/>
      <c r="H77" s="7"/>
      <c r="I77" s="7"/>
      <c r="J77" s="7"/>
      <c r="K77" s="7"/>
      <c r="L77" s="7"/>
      <c r="M77" s="7"/>
      <c r="N77" s="7"/>
      <c r="O77" s="7"/>
      <c r="P77" s="7"/>
      <c r="Q77" s="7"/>
      <c r="R77" s="7"/>
      <c r="S77" s="7"/>
      <c r="T77" s="7"/>
      <c r="U77" s="7"/>
      <c r="V77" s="7"/>
      <c r="W77" s="7"/>
      <c r="X77" s="7"/>
      <c r="Y77" s="7"/>
      <c r="Z77" s="7"/>
    </row>
    <row r="78" spans="1:26" ht="12.75" customHeight="1">
      <c r="A78" s="7"/>
      <c r="B78" s="32"/>
      <c r="C78" s="33"/>
      <c r="D78" s="33"/>
      <c r="E78" s="33"/>
      <c r="F78" s="33"/>
      <c r="G78" s="7"/>
      <c r="H78" s="7"/>
      <c r="I78" s="7"/>
      <c r="J78" s="7"/>
      <c r="K78" s="7"/>
      <c r="L78" s="7"/>
      <c r="M78" s="7"/>
      <c r="N78" s="7"/>
      <c r="O78" s="7"/>
      <c r="P78" s="7"/>
      <c r="Q78" s="7"/>
      <c r="R78" s="7"/>
      <c r="S78" s="7"/>
      <c r="T78" s="7"/>
      <c r="U78" s="7"/>
      <c r="V78" s="7"/>
      <c r="W78" s="7"/>
      <c r="X78" s="7"/>
      <c r="Y78" s="7"/>
      <c r="Z78" s="7"/>
    </row>
    <row r="79" spans="1:26" ht="12.75" customHeight="1">
      <c r="A79" s="7"/>
      <c r="B79" s="32"/>
      <c r="C79" s="33"/>
      <c r="D79" s="33"/>
      <c r="E79" s="33"/>
      <c r="F79" s="33"/>
      <c r="G79" s="7"/>
      <c r="H79" s="7"/>
      <c r="I79" s="7"/>
      <c r="J79" s="7"/>
      <c r="K79" s="7"/>
      <c r="L79" s="7"/>
      <c r="M79" s="7"/>
      <c r="N79" s="7"/>
      <c r="O79" s="7"/>
      <c r="P79" s="7"/>
      <c r="Q79" s="7"/>
      <c r="R79" s="7"/>
      <c r="S79" s="7"/>
      <c r="T79" s="7"/>
      <c r="U79" s="7"/>
      <c r="V79" s="7"/>
      <c r="W79" s="7"/>
      <c r="X79" s="7"/>
      <c r="Y79" s="7"/>
      <c r="Z79" s="7"/>
    </row>
    <row r="80" spans="1:26" ht="12.75" customHeight="1">
      <c r="A80" s="7"/>
      <c r="B80" s="32"/>
      <c r="C80" s="33"/>
      <c r="D80" s="33"/>
      <c r="E80" s="33"/>
      <c r="F80" s="33"/>
      <c r="G80" s="7"/>
      <c r="H80" s="7"/>
      <c r="I80" s="7"/>
      <c r="J80" s="7"/>
      <c r="K80" s="7"/>
      <c r="L80" s="7"/>
      <c r="M80" s="7"/>
      <c r="N80" s="7"/>
      <c r="O80" s="7"/>
      <c r="P80" s="7"/>
      <c r="Q80" s="7"/>
      <c r="R80" s="7"/>
      <c r="S80" s="7"/>
      <c r="T80" s="7"/>
      <c r="U80" s="7"/>
      <c r="V80" s="7"/>
      <c r="W80" s="7"/>
      <c r="X80" s="7"/>
      <c r="Y80" s="7"/>
      <c r="Z80" s="7"/>
    </row>
    <row r="81" spans="1:26" ht="12.75" customHeight="1">
      <c r="A81" s="7"/>
      <c r="B81" s="32"/>
      <c r="C81" s="33"/>
      <c r="D81" s="33"/>
      <c r="E81" s="33"/>
      <c r="F81" s="33"/>
      <c r="G81" s="7"/>
      <c r="H81" s="7"/>
      <c r="I81" s="7"/>
      <c r="J81" s="7"/>
      <c r="K81" s="7"/>
      <c r="L81" s="7"/>
      <c r="M81" s="7"/>
      <c r="N81" s="7"/>
      <c r="O81" s="7"/>
      <c r="P81" s="7"/>
      <c r="Q81" s="7"/>
      <c r="R81" s="7"/>
      <c r="S81" s="7"/>
      <c r="T81" s="7"/>
      <c r="U81" s="7"/>
      <c r="V81" s="7"/>
      <c r="W81" s="7"/>
      <c r="X81" s="7"/>
      <c r="Y81" s="7"/>
      <c r="Z81" s="7"/>
    </row>
    <row r="82" spans="1:26" ht="12.75" customHeight="1">
      <c r="A82" s="7"/>
      <c r="B82" s="32"/>
      <c r="C82" s="33"/>
      <c r="D82" s="33"/>
      <c r="E82" s="33"/>
      <c r="F82" s="33"/>
      <c r="G82" s="7"/>
      <c r="H82" s="7"/>
      <c r="I82" s="7"/>
      <c r="J82" s="7"/>
      <c r="K82" s="7"/>
      <c r="L82" s="7"/>
      <c r="M82" s="7"/>
      <c r="N82" s="7"/>
      <c r="O82" s="7"/>
      <c r="P82" s="7"/>
      <c r="Q82" s="7"/>
      <c r="R82" s="7"/>
      <c r="S82" s="7"/>
      <c r="T82" s="7"/>
      <c r="U82" s="7"/>
      <c r="V82" s="7"/>
      <c r="W82" s="7"/>
      <c r="X82" s="7"/>
      <c r="Y82" s="7"/>
      <c r="Z82" s="7"/>
    </row>
    <row r="83" spans="1:26" ht="12.75" customHeight="1">
      <c r="A83" s="7"/>
      <c r="B83" s="32"/>
      <c r="C83" s="33"/>
      <c r="D83" s="33"/>
      <c r="E83" s="33"/>
      <c r="F83" s="33"/>
      <c r="G83" s="7"/>
      <c r="H83" s="7"/>
      <c r="I83" s="7"/>
      <c r="J83" s="7"/>
      <c r="K83" s="7"/>
      <c r="L83" s="7"/>
      <c r="M83" s="7"/>
      <c r="N83" s="7"/>
      <c r="O83" s="7"/>
      <c r="P83" s="7"/>
      <c r="Q83" s="7"/>
      <c r="R83" s="7"/>
      <c r="S83" s="7"/>
      <c r="T83" s="7"/>
      <c r="U83" s="7"/>
      <c r="V83" s="7"/>
      <c r="W83" s="7"/>
      <c r="X83" s="7"/>
      <c r="Y83" s="7"/>
      <c r="Z83" s="7"/>
    </row>
    <row r="84" spans="1:26" ht="12.75" customHeight="1">
      <c r="A84" s="7"/>
      <c r="B84" s="32"/>
      <c r="C84" s="33"/>
      <c r="D84" s="33"/>
      <c r="E84" s="33"/>
      <c r="F84" s="33"/>
      <c r="G84" s="7"/>
      <c r="H84" s="7"/>
      <c r="I84" s="7"/>
      <c r="J84" s="7"/>
      <c r="K84" s="7"/>
      <c r="L84" s="7"/>
      <c r="M84" s="7"/>
      <c r="N84" s="7"/>
      <c r="O84" s="7"/>
      <c r="P84" s="7"/>
      <c r="Q84" s="7"/>
      <c r="R84" s="7"/>
      <c r="S84" s="7"/>
      <c r="T84" s="7"/>
      <c r="U84" s="7"/>
      <c r="V84" s="7"/>
      <c r="W84" s="7"/>
      <c r="X84" s="7"/>
      <c r="Y84" s="7"/>
      <c r="Z84" s="7"/>
    </row>
    <row r="85" spans="1:26" ht="12.75" customHeight="1">
      <c r="A85" s="7"/>
      <c r="B85" s="32"/>
      <c r="C85" s="33"/>
      <c r="D85" s="33"/>
      <c r="E85" s="33"/>
      <c r="F85" s="33"/>
      <c r="G85" s="7"/>
      <c r="H85" s="7"/>
      <c r="I85" s="7"/>
      <c r="J85" s="7"/>
      <c r="K85" s="7"/>
      <c r="L85" s="7"/>
      <c r="M85" s="7"/>
      <c r="N85" s="7"/>
      <c r="O85" s="7"/>
      <c r="P85" s="7"/>
      <c r="Q85" s="7"/>
      <c r="R85" s="7"/>
      <c r="S85" s="7"/>
      <c r="T85" s="7"/>
      <c r="U85" s="7"/>
      <c r="V85" s="7"/>
      <c r="W85" s="7"/>
      <c r="X85" s="7"/>
      <c r="Y85" s="7"/>
      <c r="Z85" s="7"/>
    </row>
    <row r="86" spans="1:26" ht="12.75" customHeight="1">
      <c r="A86" s="7"/>
      <c r="B86" s="32"/>
      <c r="C86" s="33"/>
      <c r="D86" s="33"/>
      <c r="E86" s="33"/>
      <c r="F86" s="33"/>
      <c r="G86" s="7"/>
      <c r="H86" s="7"/>
      <c r="I86" s="7"/>
      <c r="J86" s="7"/>
      <c r="K86" s="7"/>
      <c r="L86" s="7"/>
      <c r="M86" s="7"/>
      <c r="N86" s="7"/>
      <c r="O86" s="7"/>
      <c r="P86" s="7"/>
      <c r="Q86" s="7"/>
      <c r="R86" s="7"/>
      <c r="S86" s="7"/>
      <c r="T86" s="7"/>
      <c r="U86" s="7"/>
      <c r="V86" s="7"/>
      <c r="W86" s="7"/>
      <c r="X86" s="7"/>
      <c r="Y86" s="7"/>
      <c r="Z86" s="7"/>
    </row>
    <row r="87" spans="1:26" ht="12.75" customHeight="1">
      <c r="A87" s="7"/>
      <c r="B87" s="32"/>
      <c r="C87" s="33"/>
      <c r="D87" s="33"/>
      <c r="E87" s="33"/>
      <c r="F87" s="33"/>
      <c r="G87" s="7"/>
      <c r="H87" s="7"/>
      <c r="I87" s="7"/>
      <c r="J87" s="7"/>
      <c r="K87" s="7"/>
      <c r="L87" s="7"/>
      <c r="M87" s="7"/>
      <c r="N87" s="7"/>
      <c r="O87" s="7"/>
      <c r="P87" s="7"/>
      <c r="Q87" s="7"/>
      <c r="R87" s="7"/>
      <c r="S87" s="7"/>
      <c r="T87" s="7"/>
      <c r="U87" s="7"/>
      <c r="V87" s="7"/>
      <c r="W87" s="7"/>
      <c r="X87" s="7"/>
      <c r="Y87" s="7"/>
      <c r="Z87" s="7"/>
    </row>
    <row r="88" spans="1:26" ht="12.75" customHeight="1">
      <c r="A88" s="7"/>
      <c r="B88" s="32"/>
      <c r="C88" s="33"/>
      <c r="D88" s="33"/>
      <c r="E88" s="33"/>
      <c r="F88" s="33"/>
      <c r="G88" s="7"/>
      <c r="H88" s="7"/>
      <c r="I88" s="7"/>
      <c r="J88" s="7"/>
      <c r="K88" s="7"/>
      <c r="L88" s="7"/>
      <c r="M88" s="7"/>
      <c r="N88" s="7"/>
      <c r="O88" s="7"/>
      <c r="P88" s="7"/>
      <c r="Q88" s="7"/>
      <c r="R88" s="7"/>
      <c r="S88" s="7"/>
      <c r="T88" s="7"/>
      <c r="U88" s="7"/>
      <c r="V88" s="7"/>
      <c r="W88" s="7"/>
      <c r="X88" s="7"/>
      <c r="Y88" s="7"/>
      <c r="Z88" s="7"/>
    </row>
    <row r="89" spans="1:26" ht="12.75" customHeight="1">
      <c r="A89" s="7"/>
      <c r="B89" s="32"/>
      <c r="C89" s="33"/>
      <c r="D89" s="33"/>
      <c r="E89" s="33"/>
      <c r="F89" s="33"/>
      <c r="G89" s="7"/>
      <c r="H89" s="7"/>
      <c r="I89" s="7"/>
      <c r="J89" s="7"/>
      <c r="K89" s="7"/>
      <c r="L89" s="7"/>
      <c r="M89" s="7"/>
      <c r="N89" s="7"/>
      <c r="O89" s="7"/>
      <c r="P89" s="7"/>
      <c r="Q89" s="7"/>
      <c r="R89" s="7"/>
      <c r="S89" s="7"/>
      <c r="T89" s="7"/>
      <c r="U89" s="7"/>
      <c r="V89" s="7"/>
      <c r="W89" s="7"/>
      <c r="X89" s="7"/>
      <c r="Y89" s="7"/>
      <c r="Z89" s="7"/>
    </row>
    <row r="90" spans="1:26" ht="12.75" customHeight="1">
      <c r="A90" s="7"/>
      <c r="B90" s="32"/>
      <c r="C90" s="33"/>
      <c r="D90" s="33"/>
      <c r="E90" s="33"/>
      <c r="F90" s="33"/>
      <c r="G90" s="7"/>
      <c r="H90" s="7"/>
      <c r="I90" s="7"/>
      <c r="J90" s="7"/>
      <c r="K90" s="7"/>
      <c r="L90" s="7"/>
      <c r="M90" s="7"/>
      <c r="N90" s="7"/>
      <c r="O90" s="7"/>
      <c r="P90" s="7"/>
      <c r="Q90" s="7"/>
      <c r="R90" s="7"/>
      <c r="S90" s="7"/>
      <c r="T90" s="7"/>
      <c r="U90" s="7"/>
      <c r="V90" s="7"/>
      <c r="W90" s="7"/>
      <c r="X90" s="7"/>
      <c r="Y90" s="7"/>
      <c r="Z90" s="7"/>
    </row>
    <row r="91" spans="1:26" ht="12.75" customHeight="1">
      <c r="A91" s="7"/>
      <c r="B91" s="32"/>
      <c r="C91" s="33"/>
      <c r="D91" s="33"/>
      <c r="E91" s="33"/>
      <c r="F91" s="33"/>
      <c r="G91" s="7"/>
      <c r="H91" s="7"/>
      <c r="I91" s="7"/>
      <c r="J91" s="7"/>
      <c r="K91" s="7"/>
      <c r="L91" s="7"/>
      <c r="M91" s="7"/>
      <c r="N91" s="7"/>
      <c r="O91" s="7"/>
      <c r="P91" s="7"/>
      <c r="Q91" s="7"/>
      <c r="R91" s="7"/>
      <c r="S91" s="7"/>
      <c r="T91" s="7"/>
      <c r="U91" s="7"/>
      <c r="V91" s="7"/>
      <c r="W91" s="7"/>
      <c r="X91" s="7"/>
      <c r="Y91" s="7"/>
      <c r="Z91" s="7"/>
    </row>
    <row r="92" spans="1:26" ht="12.75" customHeight="1">
      <c r="A92" s="7"/>
      <c r="B92" s="32"/>
      <c r="C92" s="33"/>
      <c r="D92" s="33"/>
      <c r="E92" s="33"/>
      <c r="F92" s="33"/>
      <c r="G92" s="7"/>
      <c r="H92" s="7"/>
      <c r="I92" s="7"/>
      <c r="J92" s="7"/>
      <c r="K92" s="7"/>
      <c r="L92" s="7"/>
      <c r="M92" s="7"/>
      <c r="N92" s="7"/>
      <c r="O92" s="7"/>
      <c r="P92" s="7"/>
      <c r="Q92" s="7"/>
      <c r="R92" s="7"/>
      <c r="S92" s="7"/>
      <c r="T92" s="7"/>
      <c r="U92" s="7"/>
      <c r="V92" s="7"/>
      <c r="W92" s="7"/>
      <c r="X92" s="7"/>
      <c r="Y92" s="7"/>
      <c r="Z92" s="7"/>
    </row>
    <row r="93" spans="1:26" ht="12.75" customHeight="1">
      <c r="A93" s="7"/>
      <c r="B93" s="32"/>
      <c r="C93" s="33"/>
      <c r="D93" s="33"/>
      <c r="E93" s="33"/>
      <c r="F93" s="33"/>
      <c r="G93" s="7"/>
      <c r="H93" s="7"/>
      <c r="I93" s="7"/>
      <c r="J93" s="7"/>
      <c r="K93" s="7"/>
      <c r="L93" s="7"/>
      <c r="M93" s="7"/>
      <c r="N93" s="7"/>
      <c r="O93" s="7"/>
      <c r="P93" s="7"/>
      <c r="Q93" s="7"/>
      <c r="R93" s="7"/>
      <c r="S93" s="7"/>
      <c r="T93" s="7"/>
      <c r="U93" s="7"/>
      <c r="V93" s="7"/>
      <c r="W93" s="7"/>
      <c r="X93" s="7"/>
      <c r="Y93" s="7"/>
      <c r="Z93" s="7"/>
    </row>
    <row r="94" spans="1:26" ht="12.75" customHeight="1">
      <c r="A94" s="7"/>
      <c r="B94" s="32"/>
      <c r="C94" s="33"/>
      <c r="D94" s="33"/>
      <c r="E94" s="33"/>
      <c r="F94" s="33"/>
      <c r="G94" s="7"/>
      <c r="H94" s="7"/>
      <c r="I94" s="7"/>
      <c r="J94" s="7"/>
      <c r="K94" s="7"/>
      <c r="L94" s="7"/>
      <c r="M94" s="7"/>
      <c r="N94" s="7"/>
      <c r="O94" s="7"/>
      <c r="P94" s="7"/>
      <c r="Q94" s="7"/>
      <c r="R94" s="7"/>
      <c r="S94" s="7"/>
      <c r="T94" s="7"/>
      <c r="U94" s="7"/>
      <c r="V94" s="7"/>
      <c r="W94" s="7"/>
      <c r="X94" s="7"/>
      <c r="Y94" s="7"/>
      <c r="Z94" s="7"/>
    </row>
    <row r="95" spans="1:26" ht="12.75" customHeight="1">
      <c r="A95" s="7"/>
      <c r="B95" s="32"/>
      <c r="C95" s="33"/>
      <c r="D95" s="33"/>
      <c r="E95" s="33"/>
      <c r="F95" s="33"/>
      <c r="G95" s="7"/>
      <c r="H95" s="7"/>
      <c r="I95" s="7"/>
      <c r="J95" s="7"/>
      <c r="K95" s="7"/>
      <c r="L95" s="7"/>
      <c r="M95" s="7"/>
      <c r="N95" s="7"/>
      <c r="O95" s="7"/>
      <c r="P95" s="7"/>
      <c r="Q95" s="7"/>
      <c r="R95" s="7"/>
      <c r="S95" s="7"/>
      <c r="T95" s="7"/>
      <c r="U95" s="7"/>
      <c r="V95" s="7"/>
      <c r="W95" s="7"/>
      <c r="X95" s="7"/>
      <c r="Y95" s="7"/>
      <c r="Z95" s="7"/>
    </row>
    <row r="96" spans="1:26" ht="12.75" customHeight="1">
      <c r="A96" s="7"/>
      <c r="B96" s="32"/>
      <c r="C96" s="33"/>
      <c r="D96" s="33"/>
      <c r="E96" s="33"/>
      <c r="F96" s="33"/>
      <c r="G96" s="7"/>
      <c r="H96" s="7"/>
      <c r="I96" s="7"/>
      <c r="J96" s="7"/>
      <c r="K96" s="7"/>
      <c r="L96" s="7"/>
      <c r="M96" s="7"/>
      <c r="N96" s="7"/>
      <c r="O96" s="7"/>
      <c r="P96" s="7"/>
      <c r="Q96" s="7"/>
      <c r="R96" s="7"/>
      <c r="S96" s="7"/>
      <c r="T96" s="7"/>
      <c r="U96" s="7"/>
      <c r="V96" s="7"/>
      <c r="W96" s="7"/>
      <c r="X96" s="7"/>
      <c r="Y96" s="7"/>
      <c r="Z96" s="7"/>
    </row>
    <row r="97" spans="1:26" ht="12.75" customHeight="1">
      <c r="A97" s="7"/>
      <c r="B97" s="32"/>
      <c r="C97" s="33"/>
      <c r="D97" s="33"/>
      <c r="E97" s="33"/>
      <c r="F97" s="33"/>
      <c r="G97" s="7"/>
      <c r="H97" s="7"/>
      <c r="I97" s="7"/>
      <c r="J97" s="7"/>
      <c r="K97" s="7"/>
      <c r="L97" s="7"/>
      <c r="M97" s="7"/>
      <c r="N97" s="7"/>
      <c r="O97" s="7"/>
      <c r="P97" s="7"/>
      <c r="Q97" s="7"/>
      <c r="R97" s="7"/>
      <c r="S97" s="7"/>
      <c r="T97" s="7"/>
      <c r="U97" s="7"/>
      <c r="V97" s="7"/>
      <c r="W97" s="7"/>
      <c r="X97" s="7"/>
      <c r="Y97" s="7"/>
      <c r="Z97" s="7"/>
    </row>
    <row r="98" spans="1:26" ht="12.75" customHeight="1">
      <c r="A98" s="7"/>
      <c r="B98" s="32"/>
      <c r="C98" s="33"/>
      <c r="D98" s="33"/>
      <c r="E98" s="33"/>
      <c r="F98" s="33"/>
      <c r="G98" s="7"/>
      <c r="H98" s="7"/>
      <c r="I98" s="7"/>
      <c r="J98" s="7"/>
      <c r="K98" s="7"/>
      <c r="L98" s="7"/>
      <c r="M98" s="7"/>
      <c r="N98" s="7"/>
      <c r="O98" s="7"/>
      <c r="P98" s="7"/>
      <c r="Q98" s="7"/>
      <c r="R98" s="7"/>
      <c r="S98" s="7"/>
      <c r="T98" s="7"/>
      <c r="U98" s="7"/>
      <c r="V98" s="7"/>
      <c r="W98" s="7"/>
      <c r="X98" s="7"/>
      <c r="Y98" s="7"/>
      <c r="Z98" s="7"/>
    </row>
    <row r="99" spans="1:26" ht="12.75" customHeight="1">
      <c r="A99" s="7"/>
      <c r="B99" s="32"/>
      <c r="C99" s="33"/>
      <c r="D99" s="33"/>
      <c r="E99" s="33"/>
      <c r="F99" s="33"/>
      <c r="G99" s="7"/>
      <c r="H99" s="7"/>
      <c r="I99" s="7"/>
      <c r="J99" s="7"/>
      <c r="K99" s="7"/>
      <c r="L99" s="7"/>
      <c r="M99" s="7"/>
      <c r="N99" s="7"/>
      <c r="O99" s="7"/>
      <c r="P99" s="7"/>
      <c r="Q99" s="7"/>
      <c r="R99" s="7"/>
      <c r="S99" s="7"/>
      <c r="T99" s="7"/>
      <c r="U99" s="7"/>
      <c r="V99" s="7"/>
      <c r="W99" s="7"/>
      <c r="X99" s="7"/>
      <c r="Y99" s="7"/>
      <c r="Z99" s="7"/>
    </row>
    <row r="100" spans="1:26" ht="12.75" customHeight="1">
      <c r="A100" s="7"/>
      <c r="B100" s="32"/>
      <c r="C100" s="33"/>
      <c r="D100" s="33"/>
      <c r="E100" s="33"/>
      <c r="F100" s="33"/>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32"/>
      <c r="C101" s="33"/>
      <c r="D101" s="33"/>
      <c r="E101" s="33"/>
      <c r="F101" s="33"/>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32"/>
      <c r="C102" s="33"/>
      <c r="D102" s="33"/>
      <c r="E102" s="33"/>
      <c r="F102" s="33"/>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32"/>
      <c r="C103" s="33"/>
      <c r="D103" s="33"/>
      <c r="E103" s="33"/>
      <c r="F103" s="33"/>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32"/>
      <c r="C104" s="33"/>
      <c r="D104" s="33"/>
      <c r="E104" s="33"/>
      <c r="F104" s="33"/>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32"/>
      <c r="C105" s="33"/>
      <c r="D105" s="33"/>
      <c r="E105" s="33"/>
      <c r="F105" s="33"/>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32"/>
      <c r="C106" s="33"/>
      <c r="D106" s="33"/>
      <c r="E106" s="33"/>
      <c r="F106" s="33"/>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32"/>
      <c r="C107" s="33"/>
      <c r="D107" s="33"/>
      <c r="E107" s="33"/>
      <c r="F107" s="33"/>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32"/>
      <c r="C108" s="33"/>
      <c r="D108" s="33"/>
      <c r="E108" s="33"/>
      <c r="F108" s="33"/>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32"/>
      <c r="C109" s="33"/>
      <c r="D109" s="33"/>
      <c r="E109" s="33"/>
      <c r="F109" s="33"/>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32"/>
      <c r="C110" s="33"/>
      <c r="D110" s="33"/>
      <c r="E110" s="33"/>
      <c r="F110" s="33"/>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32"/>
      <c r="C111" s="33"/>
      <c r="D111" s="33"/>
      <c r="E111" s="33"/>
      <c r="F111" s="33"/>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32"/>
      <c r="C112" s="33"/>
      <c r="D112" s="33"/>
      <c r="E112" s="33"/>
      <c r="F112" s="33"/>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32"/>
      <c r="C113" s="33"/>
      <c r="D113" s="33"/>
      <c r="E113" s="33"/>
      <c r="F113" s="33"/>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32"/>
      <c r="C114" s="33"/>
      <c r="D114" s="33"/>
      <c r="E114" s="33"/>
      <c r="F114" s="33"/>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32"/>
      <c r="C115" s="33"/>
      <c r="D115" s="33"/>
      <c r="E115" s="33"/>
      <c r="F115" s="33"/>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32"/>
      <c r="C116" s="33"/>
      <c r="D116" s="33"/>
      <c r="E116" s="33"/>
      <c r="F116" s="33"/>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32"/>
      <c r="C117" s="33"/>
      <c r="D117" s="33"/>
      <c r="E117" s="33"/>
      <c r="F117" s="33"/>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32"/>
      <c r="C118" s="33"/>
      <c r="D118" s="33"/>
      <c r="E118" s="33"/>
      <c r="F118" s="33"/>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32"/>
      <c r="C119" s="33"/>
      <c r="D119" s="33"/>
      <c r="E119" s="33"/>
      <c r="F119" s="33"/>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32"/>
      <c r="C120" s="33"/>
      <c r="D120" s="33"/>
      <c r="E120" s="33"/>
      <c r="F120" s="33"/>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32"/>
      <c r="C121" s="33"/>
      <c r="D121" s="33"/>
      <c r="E121" s="33"/>
      <c r="F121" s="33"/>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32"/>
      <c r="C122" s="33"/>
      <c r="D122" s="33"/>
      <c r="E122" s="33"/>
      <c r="F122" s="33"/>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32"/>
      <c r="C123" s="33"/>
      <c r="D123" s="33"/>
      <c r="E123" s="33"/>
      <c r="F123" s="33"/>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32"/>
      <c r="C124" s="33"/>
      <c r="D124" s="33"/>
      <c r="E124" s="33"/>
      <c r="F124" s="33"/>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32"/>
      <c r="C125" s="33"/>
      <c r="D125" s="33"/>
      <c r="E125" s="33"/>
      <c r="F125" s="33"/>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32"/>
      <c r="C126" s="33"/>
      <c r="D126" s="33"/>
      <c r="E126" s="33"/>
      <c r="F126" s="33"/>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32"/>
      <c r="C127" s="33"/>
      <c r="D127" s="33"/>
      <c r="E127" s="33"/>
      <c r="F127" s="33"/>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32"/>
      <c r="C128" s="33"/>
      <c r="D128" s="33"/>
      <c r="E128" s="33"/>
      <c r="F128" s="33"/>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32"/>
      <c r="C129" s="33"/>
      <c r="D129" s="33"/>
      <c r="E129" s="33"/>
      <c r="F129" s="33"/>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32"/>
      <c r="C130" s="33"/>
      <c r="D130" s="33"/>
      <c r="E130" s="33"/>
      <c r="F130" s="33"/>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32"/>
      <c r="C131" s="33"/>
      <c r="D131" s="33"/>
      <c r="E131" s="33"/>
      <c r="F131" s="33"/>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32"/>
      <c r="C132" s="33"/>
      <c r="D132" s="33"/>
      <c r="E132" s="33"/>
      <c r="F132" s="33"/>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32"/>
      <c r="C133" s="33"/>
      <c r="D133" s="33"/>
      <c r="E133" s="33"/>
      <c r="F133" s="33"/>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32"/>
      <c r="C134" s="33"/>
      <c r="D134" s="33"/>
      <c r="E134" s="33"/>
      <c r="F134" s="33"/>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32"/>
      <c r="C135" s="33"/>
      <c r="D135" s="33"/>
      <c r="E135" s="33"/>
      <c r="F135" s="33"/>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32"/>
      <c r="C136" s="33"/>
      <c r="D136" s="33"/>
      <c r="E136" s="33"/>
      <c r="F136" s="33"/>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32"/>
      <c r="C137" s="33"/>
      <c r="D137" s="33"/>
      <c r="E137" s="33"/>
      <c r="F137" s="33"/>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32"/>
      <c r="C138" s="33"/>
      <c r="D138" s="33"/>
      <c r="E138" s="33"/>
      <c r="F138" s="33"/>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32"/>
      <c r="C139" s="33"/>
      <c r="D139" s="33"/>
      <c r="E139" s="33"/>
      <c r="F139" s="33"/>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32"/>
      <c r="C140" s="33"/>
      <c r="D140" s="33"/>
      <c r="E140" s="33"/>
      <c r="F140" s="33"/>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32"/>
      <c r="C141" s="33"/>
      <c r="D141" s="33"/>
      <c r="E141" s="33"/>
      <c r="F141" s="33"/>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32"/>
      <c r="C142" s="33"/>
      <c r="D142" s="33"/>
      <c r="E142" s="33"/>
      <c r="F142" s="33"/>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32"/>
      <c r="C143" s="33"/>
      <c r="D143" s="33"/>
      <c r="E143" s="33"/>
      <c r="F143" s="33"/>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32"/>
      <c r="C144" s="33"/>
      <c r="D144" s="33"/>
      <c r="E144" s="33"/>
      <c r="F144" s="33"/>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32"/>
      <c r="C145" s="33"/>
      <c r="D145" s="33"/>
      <c r="E145" s="33"/>
      <c r="F145" s="33"/>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32"/>
      <c r="C146" s="33"/>
      <c r="D146" s="33"/>
      <c r="E146" s="33"/>
      <c r="F146" s="33"/>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32"/>
      <c r="C147" s="33"/>
      <c r="D147" s="33"/>
      <c r="E147" s="33"/>
      <c r="F147" s="33"/>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32"/>
      <c r="C148" s="33"/>
      <c r="D148" s="33"/>
      <c r="E148" s="33"/>
      <c r="F148" s="33"/>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32"/>
      <c r="C149" s="33"/>
      <c r="D149" s="33"/>
      <c r="E149" s="33"/>
      <c r="F149" s="33"/>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32"/>
      <c r="C150" s="33"/>
      <c r="D150" s="33"/>
      <c r="E150" s="33"/>
      <c r="F150" s="33"/>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32"/>
      <c r="C151" s="33"/>
      <c r="D151" s="33"/>
      <c r="E151" s="33"/>
      <c r="F151" s="33"/>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32"/>
      <c r="C152" s="33"/>
      <c r="D152" s="33"/>
      <c r="E152" s="33"/>
      <c r="F152" s="33"/>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32"/>
      <c r="C153" s="33"/>
      <c r="D153" s="33"/>
      <c r="E153" s="33"/>
      <c r="F153" s="33"/>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32"/>
      <c r="C154" s="33"/>
      <c r="D154" s="33"/>
      <c r="E154" s="33"/>
      <c r="F154" s="33"/>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32"/>
      <c r="C155" s="33"/>
      <c r="D155" s="33"/>
      <c r="E155" s="33"/>
      <c r="F155" s="33"/>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32"/>
      <c r="C156" s="33"/>
      <c r="D156" s="33"/>
      <c r="E156" s="33"/>
      <c r="F156" s="33"/>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32"/>
      <c r="C157" s="33"/>
      <c r="D157" s="33"/>
      <c r="E157" s="33"/>
      <c r="F157" s="33"/>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32"/>
      <c r="C158" s="33"/>
      <c r="D158" s="33"/>
      <c r="E158" s="33"/>
      <c r="F158" s="33"/>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32"/>
      <c r="C159" s="33"/>
      <c r="D159" s="33"/>
      <c r="E159" s="33"/>
      <c r="F159" s="33"/>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32"/>
      <c r="C160" s="33"/>
      <c r="D160" s="33"/>
      <c r="E160" s="33"/>
      <c r="F160" s="33"/>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32"/>
      <c r="C161" s="33"/>
      <c r="D161" s="33"/>
      <c r="E161" s="33"/>
      <c r="F161" s="33"/>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32"/>
      <c r="C162" s="33"/>
      <c r="D162" s="33"/>
      <c r="E162" s="33"/>
      <c r="F162" s="33"/>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32"/>
      <c r="C163" s="33"/>
      <c r="D163" s="33"/>
      <c r="E163" s="33"/>
      <c r="F163" s="33"/>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32"/>
      <c r="C164" s="33"/>
      <c r="D164" s="33"/>
      <c r="E164" s="33"/>
      <c r="F164" s="33"/>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32"/>
      <c r="C165" s="33"/>
      <c r="D165" s="33"/>
      <c r="E165" s="33"/>
      <c r="F165" s="33"/>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32"/>
      <c r="C166" s="33"/>
      <c r="D166" s="33"/>
      <c r="E166" s="33"/>
      <c r="F166" s="33"/>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32"/>
      <c r="C167" s="33"/>
      <c r="D167" s="33"/>
      <c r="E167" s="33"/>
      <c r="F167" s="33"/>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32"/>
      <c r="C168" s="33"/>
      <c r="D168" s="33"/>
      <c r="E168" s="33"/>
      <c r="F168" s="33"/>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32"/>
      <c r="C169" s="33"/>
      <c r="D169" s="33"/>
      <c r="E169" s="33"/>
      <c r="F169" s="33"/>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32"/>
      <c r="C170" s="33"/>
      <c r="D170" s="33"/>
      <c r="E170" s="33"/>
      <c r="F170" s="33"/>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32"/>
      <c r="C171" s="33"/>
      <c r="D171" s="33"/>
      <c r="E171" s="33"/>
      <c r="F171" s="33"/>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32"/>
      <c r="C172" s="33"/>
      <c r="D172" s="33"/>
      <c r="E172" s="33"/>
      <c r="F172" s="33"/>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32"/>
      <c r="C173" s="33"/>
      <c r="D173" s="33"/>
      <c r="E173" s="33"/>
      <c r="F173" s="33"/>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32"/>
      <c r="C174" s="33"/>
      <c r="D174" s="33"/>
      <c r="E174" s="33"/>
      <c r="F174" s="33"/>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32"/>
      <c r="C175" s="33"/>
      <c r="D175" s="33"/>
      <c r="E175" s="33"/>
      <c r="F175" s="33"/>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32"/>
      <c r="C176" s="33"/>
      <c r="D176" s="33"/>
      <c r="E176" s="33"/>
      <c r="F176" s="33"/>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32"/>
      <c r="C177" s="33"/>
      <c r="D177" s="33"/>
      <c r="E177" s="33"/>
      <c r="F177" s="33"/>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32"/>
      <c r="C178" s="33"/>
      <c r="D178" s="33"/>
      <c r="E178" s="33"/>
      <c r="F178" s="33"/>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32"/>
      <c r="C179" s="33"/>
      <c r="D179" s="33"/>
      <c r="E179" s="33"/>
      <c r="F179" s="33"/>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32"/>
      <c r="C180" s="33"/>
      <c r="D180" s="33"/>
      <c r="E180" s="33"/>
      <c r="F180" s="33"/>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32"/>
      <c r="C181" s="33"/>
      <c r="D181" s="33"/>
      <c r="E181" s="33"/>
      <c r="F181" s="33"/>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32"/>
      <c r="C182" s="33"/>
      <c r="D182" s="33"/>
      <c r="E182" s="33"/>
      <c r="F182" s="33"/>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32"/>
      <c r="C183" s="33"/>
      <c r="D183" s="33"/>
      <c r="E183" s="33"/>
      <c r="F183" s="33"/>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32"/>
      <c r="C184" s="33"/>
      <c r="D184" s="33"/>
      <c r="E184" s="33"/>
      <c r="F184" s="33"/>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32"/>
      <c r="C185" s="33"/>
      <c r="D185" s="33"/>
      <c r="E185" s="33"/>
      <c r="F185" s="33"/>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32"/>
      <c r="C186" s="33"/>
      <c r="D186" s="33"/>
      <c r="E186" s="33"/>
      <c r="F186" s="33"/>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32"/>
      <c r="C187" s="33"/>
      <c r="D187" s="33"/>
      <c r="E187" s="33"/>
      <c r="F187" s="33"/>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32"/>
      <c r="C188" s="33"/>
      <c r="D188" s="33"/>
      <c r="E188" s="33"/>
      <c r="F188" s="33"/>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32"/>
      <c r="C189" s="33"/>
      <c r="D189" s="33"/>
      <c r="E189" s="33"/>
      <c r="F189" s="33"/>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32"/>
      <c r="C190" s="33"/>
      <c r="D190" s="33"/>
      <c r="E190" s="33"/>
      <c r="F190" s="33"/>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32"/>
      <c r="C191" s="33"/>
      <c r="D191" s="33"/>
      <c r="E191" s="33"/>
      <c r="F191" s="33"/>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32"/>
      <c r="C192" s="33"/>
      <c r="D192" s="33"/>
      <c r="E192" s="33"/>
      <c r="F192" s="33"/>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32"/>
      <c r="C193" s="33"/>
      <c r="D193" s="33"/>
      <c r="E193" s="33"/>
      <c r="F193" s="33"/>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32"/>
      <c r="C194" s="33"/>
      <c r="D194" s="33"/>
      <c r="E194" s="33"/>
      <c r="F194" s="33"/>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32"/>
      <c r="C195" s="33"/>
      <c r="D195" s="33"/>
      <c r="E195" s="33"/>
      <c r="F195" s="33"/>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32"/>
      <c r="C196" s="33"/>
      <c r="D196" s="33"/>
      <c r="E196" s="33"/>
      <c r="F196" s="33"/>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32"/>
      <c r="C197" s="33"/>
      <c r="D197" s="33"/>
      <c r="E197" s="33"/>
      <c r="F197" s="33"/>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32"/>
      <c r="C198" s="33"/>
      <c r="D198" s="33"/>
      <c r="E198" s="33"/>
      <c r="F198" s="33"/>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32"/>
      <c r="C199" s="33"/>
      <c r="D199" s="33"/>
      <c r="E199" s="33"/>
      <c r="F199" s="33"/>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32"/>
      <c r="C200" s="33"/>
      <c r="D200" s="33"/>
      <c r="E200" s="33"/>
      <c r="F200" s="33"/>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32"/>
      <c r="C201" s="33"/>
      <c r="D201" s="33"/>
      <c r="E201" s="33"/>
      <c r="F201" s="33"/>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32"/>
      <c r="C202" s="33"/>
      <c r="D202" s="33"/>
      <c r="E202" s="33"/>
      <c r="F202" s="33"/>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32"/>
      <c r="C203" s="33"/>
      <c r="D203" s="33"/>
      <c r="E203" s="33"/>
      <c r="F203" s="33"/>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32"/>
      <c r="C204" s="33"/>
      <c r="D204" s="33"/>
      <c r="E204" s="33"/>
      <c r="F204" s="33"/>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32"/>
      <c r="C205" s="33"/>
      <c r="D205" s="33"/>
      <c r="E205" s="33"/>
      <c r="F205" s="33"/>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32"/>
      <c r="C206" s="33"/>
      <c r="D206" s="33"/>
      <c r="E206" s="33"/>
      <c r="F206" s="33"/>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32"/>
      <c r="C207" s="33"/>
      <c r="D207" s="33"/>
      <c r="E207" s="33"/>
      <c r="F207" s="33"/>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32"/>
      <c r="C208" s="33"/>
      <c r="D208" s="33"/>
      <c r="E208" s="33"/>
      <c r="F208" s="33"/>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32"/>
      <c r="C209" s="33"/>
      <c r="D209" s="33"/>
      <c r="E209" s="33"/>
      <c r="F209" s="33"/>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32"/>
      <c r="C210" s="33"/>
      <c r="D210" s="33"/>
      <c r="E210" s="33"/>
      <c r="F210" s="33"/>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32"/>
      <c r="C211" s="33"/>
      <c r="D211" s="33"/>
      <c r="E211" s="33"/>
      <c r="F211" s="33"/>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32"/>
      <c r="C212" s="33"/>
      <c r="D212" s="33"/>
      <c r="E212" s="33"/>
      <c r="F212" s="33"/>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32"/>
      <c r="C213" s="33"/>
      <c r="D213" s="33"/>
      <c r="E213" s="33"/>
      <c r="F213" s="33"/>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32"/>
      <c r="C214" s="33"/>
      <c r="D214" s="33"/>
      <c r="E214" s="33"/>
      <c r="F214" s="33"/>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32"/>
      <c r="C215" s="33"/>
      <c r="D215" s="33"/>
      <c r="E215" s="33"/>
      <c r="F215" s="33"/>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32"/>
      <c r="C216" s="33"/>
      <c r="D216" s="33"/>
      <c r="E216" s="33"/>
      <c r="F216" s="33"/>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32"/>
      <c r="C217" s="33"/>
      <c r="D217" s="33"/>
      <c r="E217" s="33"/>
      <c r="F217" s="33"/>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32"/>
      <c r="C218" s="33"/>
      <c r="D218" s="33"/>
      <c r="E218" s="33"/>
      <c r="F218" s="33"/>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32"/>
      <c r="C219" s="33"/>
      <c r="D219" s="33"/>
      <c r="E219" s="33"/>
      <c r="F219" s="33"/>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32"/>
      <c r="C220" s="33"/>
      <c r="D220" s="33"/>
      <c r="E220" s="33"/>
      <c r="F220" s="33"/>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32"/>
      <c r="C221" s="33"/>
      <c r="D221" s="33"/>
      <c r="E221" s="33"/>
      <c r="F221" s="33"/>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32"/>
      <c r="C222" s="33"/>
      <c r="D222" s="33"/>
      <c r="E222" s="33"/>
      <c r="F222" s="33"/>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32"/>
      <c r="C223" s="33"/>
      <c r="D223" s="33"/>
      <c r="E223" s="33"/>
      <c r="F223" s="33"/>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32"/>
      <c r="C224" s="33"/>
      <c r="D224" s="33"/>
      <c r="E224" s="33"/>
      <c r="F224" s="33"/>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32"/>
      <c r="C225" s="33"/>
      <c r="D225" s="33"/>
      <c r="E225" s="33"/>
      <c r="F225" s="33"/>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32"/>
      <c r="C226" s="33"/>
      <c r="D226" s="33"/>
      <c r="E226" s="33"/>
      <c r="F226" s="33"/>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32"/>
      <c r="C227" s="33"/>
      <c r="D227" s="33"/>
      <c r="E227" s="33"/>
      <c r="F227" s="33"/>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32"/>
      <c r="C228" s="33"/>
      <c r="D228" s="33"/>
      <c r="E228" s="33"/>
      <c r="F228" s="33"/>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32"/>
      <c r="C229" s="33"/>
      <c r="D229" s="33"/>
      <c r="E229" s="33"/>
      <c r="F229" s="33"/>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32"/>
      <c r="C230" s="33"/>
      <c r="D230" s="33"/>
      <c r="E230" s="33"/>
      <c r="F230" s="33"/>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32"/>
      <c r="C231" s="33"/>
      <c r="D231" s="33"/>
      <c r="E231" s="33"/>
      <c r="F231" s="33"/>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32"/>
      <c r="C232" s="33"/>
      <c r="D232" s="33"/>
      <c r="E232" s="33"/>
      <c r="F232" s="33"/>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32"/>
      <c r="C233" s="33"/>
      <c r="D233" s="33"/>
      <c r="E233" s="33"/>
      <c r="F233" s="33"/>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32"/>
      <c r="C234" s="33"/>
      <c r="D234" s="33"/>
      <c r="E234" s="33"/>
      <c r="F234" s="33"/>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32"/>
      <c r="C235" s="33"/>
      <c r="D235" s="33"/>
      <c r="E235" s="33"/>
      <c r="F235" s="33"/>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32"/>
      <c r="C236" s="33"/>
      <c r="D236" s="33"/>
      <c r="E236" s="33"/>
      <c r="F236" s="33"/>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32"/>
      <c r="C237" s="33"/>
      <c r="D237" s="33"/>
      <c r="E237" s="33"/>
      <c r="F237" s="33"/>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32"/>
      <c r="C238" s="33"/>
      <c r="D238" s="33"/>
      <c r="E238" s="33"/>
      <c r="F238" s="33"/>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32"/>
      <c r="C239" s="33"/>
      <c r="D239" s="33"/>
      <c r="E239" s="33"/>
      <c r="F239" s="33"/>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32"/>
      <c r="C240" s="33"/>
      <c r="D240" s="33"/>
      <c r="E240" s="33"/>
      <c r="F240" s="33"/>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32"/>
      <c r="C241" s="33"/>
      <c r="D241" s="33"/>
      <c r="E241" s="33"/>
      <c r="F241" s="33"/>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32"/>
      <c r="C242" s="33"/>
      <c r="D242" s="33"/>
      <c r="E242" s="33"/>
      <c r="F242" s="33"/>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32"/>
      <c r="C243" s="33"/>
      <c r="D243" s="33"/>
      <c r="E243" s="33"/>
      <c r="F243" s="33"/>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32"/>
      <c r="C244" s="33"/>
      <c r="D244" s="33"/>
      <c r="E244" s="33"/>
      <c r="F244" s="33"/>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32"/>
      <c r="C245" s="33"/>
      <c r="D245" s="33"/>
      <c r="E245" s="33"/>
      <c r="F245" s="33"/>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32"/>
      <c r="C246" s="33"/>
      <c r="D246" s="33"/>
      <c r="E246" s="33"/>
      <c r="F246" s="33"/>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32"/>
      <c r="C247" s="33"/>
      <c r="D247" s="33"/>
      <c r="E247" s="33"/>
      <c r="F247" s="33"/>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32"/>
      <c r="C248" s="33"/>
      <c r="D248" s="33"/>
      <c r="E248" s="33"/>
      <c r="F248" s="33"/>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32"/>
      <c r="C249" s="33"/>
      <c r="D249" s="33"/>
      <c r="E249" s="33"/>
      <c r="F249" s="33"/>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32"/>
      <c r="C250" s="33"/>
      <c r="D250" s="33"/>
      <c r="E250" s="33"/>
      <c r="F250" s="33"/>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32"/>
      <c r="C251" s="33"/>
      <c r="D251" s="33"/>
      <c r="E251" s="33"/>
      <c r="F251" s="33"/>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32"/>
      <c r="C252" s="33"/>
      <c r="D252" s="33"/>
      <c r="E252" s="33"/>
      <c r="F252" s="33"/>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32"/>
      <c r="C253" s="33"/>
      <c r="D253" s="33"/>
      <c r="E253" s="33"/>
      <c r="F253" s="33"/>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32"/>
      <c r="C254" s="33"/>
      <c r="D254" s="33"/>
      <c r="E254" s="33"/>
      <c r="F254" s="33"/>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32"/>
      <c r="C255" s="33"/>
      <c r="D255" s="33"/>
      <c r="E255" s="33"/>
      <c r="F255" s="33"/>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32"/>
      <c r="C256" s="33"/>
      <c r="D256" s="33"/>
      <c r="E256" s="33"/>
      <c r="F256" s="33"/>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32"/>
      <c r="C257" s="33"/>
      <c r="D257" s="33"/>
      <c r="E257" s="33"/>
      <c r="F257" s="33"/>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32"/>
      <c r="C258" s="33"/>
      <c r="D258" s="33"/>
      <c r="E258" s="33"/>
      <c r="F258" s="33"/>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32"/>
      <c r="C259" s="33"/>
      <c r="D259" s="33"/>
      <c r="E259" s="33"/>
      <c r="F259" s="33"/>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32"/>
      <c r="C260" s="33"/>
      <c r="D260" s="33"/>
      <c r="E260" s="33"/>
      <c r="F260" s="33"/>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32"/>
      <c r="C261" s="33"/>
      <c r="D261" s="33"/>
      <c r="E261" s="33"/>
      <c r="F261" s="33"/>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32"/>
      <c r="C262" s="33"/>
      <c r="D262" s="33"/>
      <c r="E262" s="33"/>
      <c r="F262" s="33"/>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32"/>
      <c r="C263" s="33"/>
      <c r="D263" s="33"/>
      <c r="E263" s="33"/>
      <c r="F263" s="33"/>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32"/>
      <c r="C264" s="33"/>
      <c r="D264" s="33"/>
      <c r="E264" s="33"/>
      <c r="F264" s="33"/>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32"/>
      <c r="C265" s="33"/>
      <c r="D265" s="33"/>
      <c r="E265" s="33"/>
      <c r="F265" s="33"/>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32"/>
      <c r="C266" s="33"/>
      <c r="D266" s="33"/>
      <c r="E266" s="33"/>
      <c r="F266" s="33"/>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32"/>
      <c r="C267" s="33"/>
      <c r="D267" s="33"/>
      <c r="E267" s="33"/>
      <c r="F267" s="33"/>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32"/>
      <c r="C268" s="33"/>
      <c r="D268" s="33"/>
      <c r="E268" s="33"/>
      <c r="F268" s="33"/>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32"/>
      <c r="C269" s="33"/>
      <c r="D269" s="33"/>
      <c r="E269" s="33"/>
      <c r="F269" s="33"/>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32"/>
      <c r="C270" s="33"/>
      <c r="D270" s="33"/>
      <c r="E270" s="33"/>
      <c r="F270" s="33"/>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32"/>
      <c r="C271" s="33"/>
      <c r="D271" s="33"/>
      <c r="E271" s="33"/>
      <c r="F271" s="33"/>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32"/>
      <c r="C272" s="33"/>
      <c r="D272" s="33"/>
      <c r="E272" s="33"/>
      <c r="F272" s="33"/>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32"/>
      <c r="C273" s="33"/>
      <c r="D273" s="33"/>
      <c r="E273" s="33"/>
      <c r="F273" s="33"/>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32"/>
      <c r="C274" s="33"/>
      <c r="D274" s="33"/>
      <c r="E274" s="33"/>
      <c r="F274" s="33"/>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32"/>
      <c r="C275" s="33"/>
      <c r="D275" s="33"/>
      <c r="E275" s="33"/>
      <c r="F275" s="33"/>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32"/>
      <c r="C276" s="33"/>
      <c r="D276" s="33"/>
      <c r="E276" s="33"/>
      <c r="F276" s="33"/>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32"/>
      <c r="C277" s="33"/>
      <c r="D277" s="33"/>
      <c r="E277" s="33"/>
      <c r="F277" s="33"/>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32"/>
      <c r="C278" s="33"/>
      <c r="D278" s="33"/>
      <c r="E278" s="33"/>
      <c r="F278" s="33"/>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32"/>
      <c r="C279" s="33"/>
      <c r="D279" s="33"/>
      <c r="E279" s="33"/>
      <c r="F279" s="33"/>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32"/>
      <c r="C280" s="33"/>
      <c r="D280" s="33"/>
      <c r="E280" s="33"/>
      <c r="F280" s="33"/>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32"/>
      <c r="C281" s="33"/>
      <c r="D281" s="33"/>
      <c r="E281" s="33"/>
      <c r="F281" s="33"/>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32"/>
      <c r="C282" s="33"/>
      <c r="D282" s="33"/>
      <c r="E282" s="33"/>
      <c r="F282" s="33"/>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32"/>
      <c r="C283" s="33"/>
      <c r="D283" s="33"/>
      <c r="E283" s="33"/>
      <c r="F283" s="33"/>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32"/>
      <c r="C284" s="33"/>
      <c r="D284" s="33"/>
      <c r="E284" s="33"/>
      <c r="F284" s="33"/>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32"/>
      <c r="C285" s="33"/>
      <c r="D285" s="33"/>
      <c r="E285" s="33"/>
      <c r="F285" s="33"/>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32"/>
      <c r="C286" s="33"/>
      <c r="D286" s="33"/>
      <c r="E286" s="33"/>
      <c r="F286" s="33"/>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32"/>
      <c r="C287" s="33"/>
      <c r="D287" s="33"/>
      <c r="E287" s="33"/>
      <c r="F287" s="33"/>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32"/>
      <c r="C288" s="33"/>
      <c r="D288" s="33"/>
      <c r="E288" s="33"/>
      <c r="F288" s="33"/>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32"/>
      <c r="C289" s="33"/>
      <c r="D289" s="33"/>
      <c r="E289" s="33"/>
      <c r="F289" s="33"/>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32"/>
      <c r="C290" s="33"/>
      <c r="D290" s="33"/>
      <c r="E290" s="33"/>
      <c r="F290" s="33"/>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32"/>
      <c r="C291" s="33"/>
      <c r="D291" s="33"/>
      <c r="E291" s="33"/>
      <c r="F291" s="33"/>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32"/>
      <c r="C292" s="33"/>
      <c r="D292" s="33"/>
      <c r="E292" s="33"/>
      <c r="F292" s="33"/>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32"/>
      <c r="C293" s="33"/>
      <c r="D293" s="33"/>
      <c r="E293" s="33"/>
      <c r="F293" s="33"/>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32"/>
      <c r="C294" s="33"/>
      <c r="D294" s="33"/>
      <c r="E294" s="33"/>
      <c r="F294" s="33"/>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32"/>
      <c r="C295" s="33"/>
      <c r="D295" s="33"/>
      <c r="E295" s="33"/>
      <c r="F295" s="33"/>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32"/>
      <c r="C296" s="33"/>
      <c r="D296" s="33"/>
      <c r="E296" s="33"/>
      <c r="F296" s="33"/>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32"/>
      <c r="C297" s="33"/>
      <c r="D297" s="33"/>
      <c r="E297" s="33"/>
      <c r="F297" s="33"/>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32"/>
      <c r="C298" s="33"/>
      <c r="D298" s="33"/>
      <c r="E298" s="33"/>
      <c r="F298" s="33"/>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32"/>
      <c r="C299" s="33"/>
      <c r="D299" s="33"/>
      <c r="E299" s="33"/>
      <c r="F299" s="33"/>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32"/>
      <c r="C300" s="33"/>
      <c r="D300" s="33"/>
      <c r="E300" s="33"/>
      <c r="F300" s="33"/>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32"/>
      <c r="C301" s="33"/>
      <c r="D301" s="33"/>
      <c r="E301" s="33"/>
      <c r="F301" s="33"/>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32"/>
      <c r="C302" s="33"/>
      <c r="D302" s="33"/>
      <c r="E302" s="33"/>
      <c r="F302" s="33"/>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32"/>
      <c r="C303" s="33"/>
      <c r="D303" s="33"/>
      <c r="E303" s="33"/>
      <c r="F303" s="33"/>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32"/>
      <c r="C304" s="33"/>
      <c r="D304" s="33"/>
      <c r="E304" s="33"/>
      <c r="F304" s="33"/>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32"/>
      <c r="C305" s="33"/>
      <c r="D305" s="33"/>
      <c r="E305" s="33"/>
      <c r="F305" s="33"/>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32"/>
      <c r="C306" s="33"/>
      <c r="D306" s="33"/>
      <c r="E306" s="33"/>
      <c r="F306" s="33"/>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32"/>
      <c r="C307" s="33"/>
      <c r="D307" s="33"/>
      <c r="E307" s="33"/>
      <c r="F307" s="33"/>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32"/>
      <c r="C308" s="33"/>
      <c r="D308" s="33"/>
      <c r="E308" s="33"/>
      <c r="F308" s="33"/>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32"/>
      <c r="C309" s="33"/>
      <c r="D309" s="33"/>
      <c r="E309" s="33"/>
      <c r="F309" s="33"/>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32"/>
      <c r="C310" s="33"/>
      <c r="D310" s="33"/>
      <c r="E310" s="33"/>
      <c r="F310" s="33"/>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32"/>
      <c r="C311" s="33"/>
      <c r="D311" s="33"/>
      <c r="E311" s="33"/>
      <c r="F311" s="33"/>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32"/>
      <c r="C312" s="33"/>
      <c r="D312" s="33"/>
      <c r="E312" s="33"/>
      <c r="F312" s="33"/>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32"/>
      <c r="C313" s="33"/>
      <c r="D313" s="33"/>
      <c r="E313" s="33"/>
      <c r="F313" s="33"/>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32"/>
      <c r="C314" s="33"/>
      <c r="D314" s="33"/>
      <c r="E314" s="33"/>
      <c r="F314" s="33"/>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32"/>
      <c r="C315" s="33"/>
      <c r="D315" s="33"/>
      <c r="E315" s="33"/>
      <c r="F315" s="33"/>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32"/>
      <c r="C316" s="33"/>
      <c r="D316" s="33"/>
      <c r="E316" s="33"/>
      <c r="F316" s="33"/>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32"/>
      <c r="C317" s="33"/>
      <c r="D317" s="33"/>
      <c r="E317" s="33"/>
      <c r="F317" s="33"/>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32"/>
      <c r="C318" s="33"/>
      <c r="D318" s="33"/>
      <c r="E318" s="33"/>
      <c r="F318" s="33"/>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32"/>
      <c r="C319" s="33"/>
      <c r="D319" s="33"/>
      <c r="E319" s="33"/>
      <c r="F319" s="33"/>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32"/>
      <c r="C320" s="33"/>
      <c r="D320" s="33"/>
      <c r="E320" s="33"/>
      <c r="F320" s="33"/>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32"/>
      <c r="C321" s="33"/>
      <c r="D321" s="33"/>
      <c r="E321" s="33"/>
      <c r="F321" s="33"/>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32"/>
      <c r="C322" s="33"/>
      <c r="D322" s="33"/>
      <c r="E322" s="33"/>
      <c r="F322" s="33"/>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32"/>
      <c r="C323" s="33"/>
      <c r="D323" s="33"/>
      <c r="E323" s="33"/>
      <c r="F323" s="33"/>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32"/>
      <c r="C324" s="33"/>
      <c r="D324" s="33"/>
      <c r="E324" s="33"/>
      <c r="F324" s="33"/>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32"/>
      <c r="C325" s="33"/>
      <c r="D325" s="33"/>
      <c r="E325" s="33"/>
      <c r="F325" s="33"/>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32"/>
      <c r="C326" s="33"/>
      <c r="D326" s="33"/>
      <c r="E326" s="33"/>
      <c r="F326" s="33"/>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32"/>
      <c r="C327" s="33"/>
      <c r="D327" s="33"/>
      <c r="E327" s="33"/>
      <c r="F327" s="33"/>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32"/>
      <c r="C328" s="33"/>
      <c r="D328" s="33"/>
      <c r="E328" s="33"/>
      <c r="F328" s="33"/>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32"/>
      <c r="C329" s="33"/>
      <c r="D329" s="33"/>
      <c r="E329" s="33"/>
      <c r="F329" s="33"/>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32"/>
      <c r="C330" s="33"/>
      <c r="D330" s="33"/>
      <c r="E330" s="33"/>
      <c r="F330" s="33"/>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32"/>
      <c r="C331" s="33"/>
      <c r="D331" s="33"/>
      <c r="E331" s="33"/>
      <c r="F331" s="33"/>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32"/>
      <c r="C332" s="33"/>
      <c r="D332" s="33"/>
      <c r="E332" s="33"/>
      <c r="F332" s="33"/>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32"/>
      <c r="C333" s="33"/>
      <c r="D333" s="33"/>
      <c r="E333" s="33"/>
      <c r="F333" s="33"/>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32"/>
      <c r="C334" s="33"/>
      <c r="D334" s="33"/>
      <c r="E334" s="33"/>
      <c r="F334" s="33"/>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32"/>
      <c r="C335" s="33"/>
      <c r="D335" s="33"/>
      <c r="E335" s="33"/>
      <c r="F335" s="33"/>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32"/>
      <c r="C336" s="33"/>
      <c r="D336" s="33"/>
      <c r="E336" s="33"/>
      <c r="F336" s="33"/>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32"/>
      <c r="C337" s="33"/>
      <c r="D337" s="33"/>
      <c r="E337" s="33"/>
      <c r="F337" s="33"/>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32"/>
      <c r="C338" s="33"/>
      <c r="D338" s="33"/>
      <c r="E338" s="33"/>
      <c r="F338" s="33"/>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32"/>
      <c r="C339" s="33"/>
      <c r="D339" s="33"/>
      <c r="E339" s="33"/>
      <c r="F339" s="33"/>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32"/>
      <c r="C340" s="33"/>
      <c r="D340" s="33"/>
      <c r="E340" s="33"/>
      <c r="F340" s="33"/>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32"/>
      <c r="C341" s="33"/>
      <c r="D341" s="33"/>
      <c r="E341" s="33"/>
      <c r="F341" s="33"/>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32"/>
      <c r="C342" s="33"/>
      <c r="D342" s="33"/>
      <c r="E342" s="33"/>
      <c r="F342" s="33"/>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32"/>
      <c r="C343" s="33"/>
      <c r="D343" s="33"/>
      <c r="E343" s="33"/>
      <c r="F343" s="33"/>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32"/>
      <c r="C344" s="33"/>
      <c r="D344" s="33"/>
      <c r="E344" s="33"/>
      <c r="F344" s="33"/>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32"/>
      <c r="C345" s="33"/>
      <c r="D345" s="33"/>
      <c r="E345" s="33"/>
      <c r="F345" s="33"/>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32"/>
      <c r="C346" s="33"/>
      <c r="D346" s="33"/>
      <c r="E346" s="33"/>
      <c r="F346" s="33"/>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32"/>
      <c r="C347" s="33"/>
      <c r="D347" s="33"/>
      <c r="E347" s="33"/>
      <c r="F347" s="33"/>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32"/>
      <c r="C348" s="33"/>
      <c r="D348" s="33"/>
      <c r="E348" s="33"/>
      <c r="F348" s="33"/>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32"/>
      <c r="C349" s="33"/>
      <c r="D349" s="33"/>
      <c r="E349" s="33"/>
      <c r="F349" s="33"/>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32"/>
      <c r="C350" s="33"/>
      <c r="D350" s="33"/>
      <c r="E350" s="33"/>
      <c r="F350" s="33"/>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32"/>
      <c r="C351" s="33"/>
      <c r="D351" s="33"/>
      <c r="E351" s="33"/>
      <c r="F351" s="33"/>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32"/>
      <c r="C352" s="33"/>
      <c r="D352" s="33"/>
      <c r="E352" s="33"/>
      <c r="F352" s="33"/>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32"/>
      <c r="C353" s="33"/>
      <c r="D353" s="33"/>
      <c r="E353" s="33"/>
      <c r="F353" s="33"/>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32"/>
      <c r="C354" s="33"/>
      <c r="D354" s="33"/>
      <c r="E354" s="33"/>
      <c r="F354" s="33"/>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32"/>
      <c r="C355" s="33"/>
      <c r="D355" s="33"/>
      <c r="E355" s="33"/>
      <c r="F355" s="33"/>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32"/>
      <c r="C356" s="33"/>
      <c r="D356" s="33"/>
      <c r="E356" s="33"/>
      <c r="F356" s="33"/>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32"/>
      <c r="C357" s="33"/>
      <c r="D357" s="33"/>
      <c r="E357" s="33"/>
      <c r="F357" s="33"/>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32"/>
      <c r="C358" s="33"/>
      <c r="D358" s="33"/>
      <c r="E358" s="33"/>
      <c r="F358" s="33"/>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32"/>
      <c r="C359" s="33"/>
      <c r="D359" s="33"/>
      <c r="E359" s="33"/>
      <c r="F359" s="33"/>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32"/>
      <c r="C360" s="33"/>
      <c r="D360" s="33"/>
      <c r="E360" s="33"/>
      <c r="F360" s="33"/>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32"/>
      <c r="C361" s="33"/>
      <c r="D361" s="33"/>
      <c r="E361" s="33"/>
      <c r="F361" s="33"/>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32"/>
      <c r="C362" s="33"/>
      <c r="D362" s="33"/>
      <c r="E362" s="33"/>
      <c r="F362" s="33"/>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32"/>
      <c r="C363" s="33"/>
      <c r="D363" s="33"/>
      <c r="E363" s="33"/>
      <c r="F363" s="33"/>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32"/>
      <c r="C364" s="33"/>
      <c r="D364" s="33"/>
      <c r="E364" s="33"/>
      <c r="F364" s="33"/>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32"/>
      <c r="C365" s="33"/>
      <c r="D365" s="33"/>
      <c r="E365" s="33"/>
      <c r="F365" s="33"/>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32"/>
      <c r="C366" s="33"/>
      <c r="D366" s="33"/>
      <c r="E366" s="33"/>
      <c r="F366" s="33"/>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32"/>
      <c r="C367" s="33"/>
      <c r="D367" s="33"/>
      <c r="E367" s="33"/>
      <c r="F367" s="33"/>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32"/>
      <c r="C368" s="33"/>
      <c r="D368" s="33"/>
      <c r="E368" s="33"/>
      <c r="F368" s="33"/>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32"/>
      <c r="C369" s="33"/>
      <c r="D369" s="33"/>
      <c r="E369" s="33"/>
      <c r="F369" s="33"/>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32"/>
      <c r="C370" s="33"/>
      <c r="D370" s="33"/>
      <c r="E370" s="33"/>
      <c r="F370" s="33"/>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32"/>
      <c r="C371" s="33"/>
      <c r="D371" s="33"/>
      <c r="E371" s="33"/>
      <c r="F371" s="33"/>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32"/>
      <c r="C372" s="33"/>
      <c r="D372" s="33"/>
      <c r="E372" s="33"/>
      <c r="F372" s="33"/>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32"/>
      <c r="C373" s="33"/>
      <c r="D373" s="33"/>
      <c r="E373" s="33"/>
      <c r="F373" s="33"/>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32"/>
      <c r="C374" s="33"/>
      <c r="D374" s="33"/>
      <c r="E374" s="33"/>
      <c r="F374" s="33"/>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32"/>
      <c r="C375" s="33"/>
      <c r="D375" s="33"/>
      <c r="E375" s="33"/>
      <c r="F375" s="33"/>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32"/>
      <c r="C376" s="33"/>
      <c r="D376" s="33"/>
      <c r="E376" s="33"/>
      <c r="F376" s="33"/>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32"/>
      <c r="C377" s="33"/>
      <c r="D377" s="33"/>
      <c r="E377" s="33"/>
      <c r="F377" s="33"/>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32"/>
      <c r="C378" s="33"/>
      <c r="D378" s="33"/>
      <c r="E378" s="33"/>
      <c r="F378" s="33"/>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32"/>
      <c r="C379" s="33"/>
      <c r="D379" s="33"/>
      <c r="E379" s="33"/>
      <c r="F379" s="33"/>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32"/>
      <c r="C380" s="33"/>
      <c r="D380" s="33"/>
      <c r="E380" s="33"/>
      <c r="F380" s="33"/>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32"/>
      <c r="C381" s="33"/>
      <c r="D381" s="33"/>
      <c r="E381" s="33"/>
      <c r="F381" s="33"/>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32"/>
      <c r="C382" s="33"/>
      <c r="D382" s="33"/>
      <c r="E382" s="33"/>
      <c r="F382" s="33"/>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32"/>
      <c r="C383" s="33"/>
      <c r="D383" s="33"/>
      <c r="E383" s="33"/>
      <c r="F383" s="33"/>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32"/>
      <c r="C384" s="33"/>
      <c r="D384" s="33"/>
      <c r="E384" s="33"/>
      <c r="F384" s="33"/>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32"/>
      <c r="C385" s="33"/>
      <c r="D385" s="33"/>
      <c r="E385" s="33"/>
      <c r="F385" s="33"/>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32"/>
      <c r="C386" s="33"/>
      <c r="D386" s="33"/>
      <c r="E386" s="33"/>
      <c r="F386" s="33"/>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32"/>
      <c r="C387" s="33"/>
      <c r="D387" s="33"/>
      <c r="E387" s="33"/>
      <c r="F387" s="33"/>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32"/>
      <c r="C388" s="33"/>
      <c r="D388" s="33"/>
      <c r="E388" s="33"/>
      <c r="F388" s="33"/>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32"/>
      <c r="C389" s="33"/>
      <c r="D389" s="33"/>
      <c r="E389" s="33"/>
      <c r="F389" s="33"/>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32"/>
      <c r="C390" s="33"/>
      <c r="D390" s="33"/>
      <c r="E390" s="33"/>
      <c r="F390" s="33"/>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32"/>
      <c r="C391" s="33"/>
      <c r="D391" s="33"/>
      <c r="E391" s="33"/>
      <c r="F391" s="33"/>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32"/>
      <c r="C392" s="33"/>
      <c r="D392" s="33"/>
      <c r="E392" s="33"/>
      <c r="F392" s="33"/>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32"/>
      <c r="C393" s="33"/>
      <c r="D393" s="33"/>
      <c r="E393" s="33"/>
      <c r="F393" s="33"/>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32"/>
      <c r="C394" s="33"/>
      <c r="D394" s="33"/>
      <c r="E394" s="33"/>
      <c r="F394" s="33"/>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32"/>
      <c r="C395" s="33"/>
      <c r="D395" s="33"/>
      <c r="E395" s="33"/>
      <c r="F395" s="33"/>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32"/>
      <c r="C396" s="33"/>
      <c r="D396" s="33"/>
      <c r="E396" s="33"/>
      <c r="F396" s="33"/>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32"/>
      <c r="C397" s="33"/>
      <c r="D397" s="33"/>
      <c r="E397" s="33"/>
      <c r="F397" s="33"/>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32"/>
      <c r="C398" s="33"/>
      <c r="D398" s="33"/>
      <c r="E398" s="33"/>
      <c r="F398" s="33"/>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32"/>
      <c r="C399" s="33"/>
      <c r="D399" s="33"/>
      <c r="E399" s="33"/>
      <c r="F399" s="33"/>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32"/>
      <c r="C400" s="33"/>
      <c r="D400" s="33"/>
      <c r="E400" s="33"/>
      <c r="F400" s="33"/>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32"/>
      <c r="C401" s="33"/>
      <c r="D401" s="33"/>
      <c r="E401" s="33"/>
      <c r="F401" s="33"/>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32"/>
      <c r="C402" s="33"/>
      <c r="D402" s="33"/>
      <c r="E402" s="33"/>
      <c r="F402" s="33"/>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32"/>
      <c r="C403" s="33"/>
      <c r="D403" s="33"/>
      <c r="E403" s="33"/>
      <c r="F403" s="33"/>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32"/>
      <c r="C404" s="33"/>
      <c r="D404" s="33"/>
      <c r="E404" s="33"/>
      <c r="F404" s="33"/>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32"/>
      <c r="C405" s="33"/>
      <c r="D405" s="33"/>
      <c r="E405" s="33"/>
      <c r="F405" s="33"/>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32"/>
      <c r="C406" s="33"/>
      <c r="D406" s="33"/>
      <c r="E406" s="33"/>
      <c r="F406" s="33"/>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32"/>
      <c r="C407" s="33"/>
      <c r="D407" s="33"/>
      <c r="E407" s="33"/>
      <c r="F407" s="33"/>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32"/>
      <c r="C408" s="33"/>
      <c r="D408" s="33"/>
      <c r="E408" s="33"/>
      <c r="F408" s="33"/>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32"/>
      <c r="C409" s="33"/>
      <c r="D409" s="33"/>
      <c r="E409" s="33"/>
      <c r="F409" s="33"/>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32"/>
      <c r="C410" s="33"/>
      <c r="D410" s="33"/>
      <c r="E410" s="33"/>
      <c r="F410" s="33"/>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32"/>
      <c r="C411" s="33"/>
      <c r="D411" s="33"/>
      <c r="E411" s="33"/>
      <c r="F411" s="33"/>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32"/>
      <c r="C412" s="33"/>
      <c r="D412" s="33"/>
      <c r="E412" s="33"/>
      <c r="F412" s="33"/>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32"/>
      <c r="C413" s="33"/>
      <c r="D413" s="33"/>
      <c r="E413" s="33"/>
      <c r="F413" s="33"/>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32"/>
      <c r="C414" s="33"/>
      <c r="D414" s="33"/>
      <c r="E414" s="33"/>
      <c r="F414" s="33"/>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32"/>
      <c r="C415" s="33"/>
      <c r="D415" s="33"/>
      <c r="E415" s="33"/>
      <c r="F415" s="33"/>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32"/>
      <c r="C416" s="33"/>
      <c r="D416" s="33"/>
      <c r="E416" s="33"/>
      <c r="F416" s="33"/>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32"/>
      <c r="C417" s="33"/>
      <c r="D417" s="33"/>
      <c r="E417" s="33"/>
      <c r="F417" s="33"/>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32"/>
      <c r="C418" s="33"/>
      <c r="D418" s="33"/>
      <c r="E418" s="33"/>
      <c r="F418" s="33"/>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32"/>
      <c r="C419" s="33"/>
      <c r="D419" s="33"/>
      <c r="E419" s="33"/>
      <c r="F419" s="33"/>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32"/>
      <c r="C420" s="33"/>
      <c r="D420" s="33"/>
      <c r="E420" s="33"/>
      <c r="F420" s="33"/>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32"/>
      <c r="C421" s="33"/>
      <c r="D421" s="33"/>
      <c r="E421" s="33"/>
      <c r="F421" s="33"/>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32"/>
      <c r="C422" s="33"/>
      <c r="D422" s="33"/>
      <c r="E422" s="33"/>
      <c r="F422" s="33"/>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32"/>
      <c r="C423" s="33"/>
      <c r="D423" s="33"/>
      <c r="E423" s="33"/>
      <c r="F423" s="33"/>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32"/>
      <c r="C424" s="33"/>
      <c r="D424" s="33"/>
      <c r="E424" s="33"/>
      <c r="F424" s="33"/>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32"/>
      <c r="C425" s="33"/>
      <c r="D425" s="33"/>
      <c r="E425" s="33"/>
      <c r="F425" s="33"/>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32"/>
      <c r="C426" s="33"/>
      <c r="D426" s="33"/>
      <c r="E426" s="33"/>
      <c r="F426" s="33"/>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32"/>
      <c r="C427" s="33"/>
      <c r="D427" s="33"/>
      <c r="E427" s="33"/>
      <c r="F427" s="33"/>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32"/>
      <c r="C428" s="33"/>
      <c r="D428" s="33"/>
      <c r="E428" s="33"/>
      <c r="F428" s="33"/>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32"/>
      <c r="C429" s="33"/>
      <c r="D429" s="33"/>
      <c r="E429" s="33"/>
      <c r="F429" s="33"/>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32"/>
      <c r="C430" s="33"/>
      <c r="D430" s="33"/>
      <c r="E430" s="33"/>
      <c r="F430" s="33"/>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32"/>
      <c r="C431" s="33"/>
      <c r="D431" s="33"/>
      <c r="E431" s="33"/>
      <c r="F431" s="33"/>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32"/>
      <c r="C432" s="33"/>
      <c r="D432" s="33"/>
      <c r="E432" s="33"/>
      <c r="F432" s="33"/>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32"/>
      <c r="C433" s="33"/>
      <c r="D433" s="33"/>
      <c r="E433" s="33"/>
      <c r="F433" s="33"/>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32"/>
      <c r="C434" s="33"/>
      <c r="D434" s="33"/>
      <c r="E434" s="33"/>
      <c r="F434" s="33"/>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32"/>
      <c r="C435" s="33"/>
      <c r="D435" s="33"/>
      <c r="E435" s="33"/>
      <c r="F435" s="33"/>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32"/>
      <c r="C436" s="33"/>
      <c r="D436" s="33"/>
      <c r="E436" s="33"/>
      <c r="F436" s="33"/>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32"/>
      <c r="C437" s="33"/>
      <c r="D437" s="33"/>
      <c r="E437" s="33"/>
      <c r="F437" s="33"/>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32"/>
      <c r="C438" s="33"/>
      <c r="D438" s="33"/>
      <c r="E438" s="33"/>
      <c r="F438" s="33"/>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32"/>
      <c r="C439" s="33"/>
      <c r="D439" s="33"/>
      <c r="E439" s="33"/>
      <c r="F439" s="33"/>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32"/>
      <c r="C440" s="33"/>
      <c r="D440" s="33"/>
      <c r="E440" s="33"/>
      <c r="F440" s="33"/>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32"/>
      <c r="C441" s="33"/>
      <c r="D441" s="33"/>
      <c r="E441" s="33"/>
      <c r="F441" s="33"/>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32"/>
      <c r="C442" s="33"/>
      <c r="D442" s="33"/>
      <c r="E442" s="33"/>
      <c r="F442" s="33"/>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32"/>
      <c r="C443" s="33"/>
      <c r="D443" s="33"/>
      <c r="E443" s="33"/>
      <c r="F443" s="33"/>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32"/>
      <c r="C444" s="33"/>
      <c r="D444" s="33"/>
      <c r="E444" s="33"/>
      <c r="F444" s="33"/>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32"/>
      <c r="C445" s="33"/>
      <c r="D445" s="33"/>
      <c r="E445" s="33"/>
      <c r="F445" s="33"/>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32"/>
      <c r="C446" s="33"/>
      <c r="D446" s="33"/>
      <c r="E446" s="33"/>
      <c r="F446" s="33"/>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32"/>
      <c r="C447" s="33"/>
      <c r="D447" s="33"/>
      <c r="E447" s="33"/>
      <c r="F447" s="33"/>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32"/>
      <c r="C448" s="33"/>
      <c r="D448" s="33"/>
      <c r="E448" s="33"/>
      <c r="F448" s="33"/>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32"/>
      <c r="C449" s="33"/>
      <c r="D449" s="33"/>
      <c r="E449" s="33"/>
      <c r="F449" s="33"/>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32"/>
      <c r="C450" s="33"/>
      <c r="D450" s="33"/>
      <c r="E450" s="33"/>
      <c r="F450" s="33"/>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32"/>
      <c r="C451" s="33"/>
      <c r="D451" s="33"/>
      <c r="E451" s="33"/>
      <c r="F451" s="33"/>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32"/>
      <c r="C452" s="33"/>
      <c r="D452" s="33"/>
      <c r="E452" s="33"/>
      <c r="F452" s="33"/>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32"/>
      <c r="C453" s="33"/>
      <c r="D453" s="33"/>
      <c r="E453" s="33"/>
      <c r="F453" s="33"/>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32"/>
      <c r="C454" s="33"/>
      <c r="D454" s="33"/>
      <c r="E454" s="33"/>
      <c r="F454" s="33"/>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32"/>
      <c r="C455" s="33"/>
      <c r="D455" s="33"/>
      <c r="E455" s="33"/>
      <c r="F455" s="33"/>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32"/>
      <c r="C456" s="33"/>
      <c r="D456" s="33"/>
      <c r="E456" s="33"/>
      <c r="F456" s="33"/>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32"/>
      <c r="C457" s="33"/>
      <c r="D457" s="33"/>
      <c r="E457" s="33"/>
      <c r="F457" s="33"/>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32"/>
      <c r="C458" s="33"/>
      <c r="D458" s="33"/>
      <c r="E458" s="33"/>
      <c r="F458" s="33"/>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32"/>
      <c r="C459" s="33"/>
      <c r="D459" s="33"/>
      <c r="E459" s="33"/>
      <c r="F459" s="33"/>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32"/>
      <c r="C460" s="33"/>
      <c r="D460" s="33"/>
      <c r="E460" s="33"/>
      <c r="F460" s="33"/>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32"/>
      <c r="C461" s="33"/>
      <c r="D461" s="33"/>
      <c r="E461" s="33"/>
      <c r="F461" s="33"/>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32"/>
      <c r="C462" s="33"/>
      <c r="D462" s="33"/>
      <c r="E462" s="33"/>
      <c r="F462" s="33"/>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32"/>
      <c r="C463" s="33"/>
      <c r="D463" s="33"/>
      <c r="E463" s="33"/>
      <c r="F463" s="33"/>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32"/>
      <c r="C464" s="33"/>
      <c r="D464" s="33"/>
      <c r="E464" s="33"/>
      <c r="F464" s="33"/>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32"/>
      <c r="C465" s="33"/>
      <c r="D465" s="33"/>
      <c r="E465" s="33"/>
      <c r="F465" s="33"/>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32"/>
      <c r="C466" s="33"/>
      <c r="D466" s="33"/>
      <c r="E466" s="33"/>
      <c r="F466" s="33"/>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32"/>
      <c r="C467" s="33"/>
      <c r="D467" s="33"/>
      <c r="E467" s="33"/>
      <c r="F467" s="33"/>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32"/>
      <c r="C468" s="33"/>
      <c r="D468" s="33"/>
      <c r="E468" s="33"/>
      <c r="F468" s="33"/>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32"/>
      <c r="C469" s="33"/>
      <c r="D469" s="33"/>
      <c r="E469" s="33"/>
      <c r="F469" s="33"/>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32"/>
      <c r="C470" s="33"/>
      <c r="D470" s="33"/>
      <c r="E470" s="33"/>
      <c r="F470" s="33"/>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32"/>
      <c r="C471" s="33"/>
      <c r="D471" s="33"/>
      <c r="E471" s="33"/>
      <c r="F471" s="33"/>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32"/>
      <c r="C472" s="33"/>
      <c r="D472" s="33"/>
      <c r="E472" s="33"/>
      <c r="F472" s="33"/>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32"/>
      <c r="C473" s="33"/>
      <c r="D473" s="33"/>
      <c r="E473" s="33"/>
      <c r="F473" s="33"/>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32"/>
      <c r="C474" s="33"/>
      <c r="D474" s="33"/>
      <c r="E474" s="33"/>
      <c r="F474" s="33"/>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32"/>
      <c r="C475" s="33"/>
      <c r="D475" s="33"/>
      <c r="E475" s="33"/>
      <c r="F475" s="33"/>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32"/>
      <c r="C476" s="33"/>
      <c r="D476" s="33"/>
      <c r="E476" s="33"/>
      <c r="F476" s="33"/>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32"/>
      <c r="C477" s="33"/>
      <c r="D477" s="33"/>
      <c r="E477" s="33"/>
      <c r="F477" s="33"/>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32"/>
      <c r="C478" s="33"/>
      <c r="D478" s="33"/>
      <c r="E478" s="33"/>
      <c r="F478" s="33"/>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32"/>
      <c r="C479" s="33"/>
      <c r="D479" s="33"/>
      <c r="E479" s="33"/>
      <c r="F479" s="33"/>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32"/>
      <c r="C480" s="33"/>
      <c r="D480" s="33"/>
      <c r="E480" s="33"/>
      <c r="F480" s="33"/>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32"/>
      <c r="C481" s="33"/>
      <c r="D481" s="33"/>
      <c r="E481" s="33"/>
      <c r="F481" s="33"/>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32"/>
      <c r="C482" s="33"/>
      <c r="D482" s="33"/>
      <c r="E482" s="33"/>
      <c r="F482" s="33"/>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32"/>
      <c r="C483" s="33"/>
      <c r="D483" s="33"/>
      <c r="E483" s="33"/>
      <c r="F483" s="33"/>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32"/>
      <c r="C484" s="33"/>
      <c r="D484" s="33"/>
      <c r="E484" s="33"/>
      <c r="F484" s="33"/>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32"/>
      <c r="C485" s="33"/>
      <c r="D485" s="33"/>
      <c r="E485" s="33"/>
      <c r="F485" s="33"/>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32"/>
      <c r="C486" s="33"/>
      <c r="D486" s="33"/>
      <c r="E486" s="33"/>
      <c r="F486" s="33"/>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32"/>
      <c r="C487" s="33"/>
      <c r="D487" s="33"/>
      <c r="E487" s="33"/>
      <c r="F487" s="33"/>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32"/>
      <c r="C488" s="33"/>
      <c r="D488" s="33"/>
      <c r="E488" s="33"/>
      <c r="F488" s="33"/>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32"/>
      <c r="C489" s="33"/>
      <c r="D489" s="33"/>
      <c r="E489" s="33"/>
      <c r="F489" s="33"/>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32"/>
      <c r="C490" s="33"/>
      <c r="D490" s="33"/>
      <c r="E490" s="33"/>
      <c r="F490" s="33"/>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32"/>
      <c r="C491" s="33"/>
      <c r="D491" s="33"/>
      <c r="E491" s="33"/>
      <c r="F491" s="33"/>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32"/>
      <c r="C492" s="33"/>
      <c r="D492" s="33"/>
      <c r="E492" s="33"/>
      <c r="F492" s="33"/>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32"/>
      <c r="C493" s="33"/>
      <c r="D493" s="33"/>
      <c r="E493" s="33"/>
      <c r="F493" s="33"/>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32"/>
      <c r="C494" s="33"/>
      <c r="D494" s="33"/>
      <c r="E494" s="33"/>
      <c r="F494" s="33"/>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32"/>
      <c r="C495" s="33"/>
      <c r="D495" s="33"/>
      <c r="E495" s="33"/>
      <c r="F495" s="33"/>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32"/>
      <c r="C496" s="33"/>
      <c r="D496" s="33"/>
      <c r="E496" s="33"/>
      <c r="F496" s="33"/>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32"/>
      <c r="C497" s="33"/>
      <c r="D497" s="33"/>
      <c r="E497" s="33"/>
      <c r="F497" s="33"/>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32"/>
      <c r="C498" s="33"/>
      <c r="D498" s="33"/>
      <c r="E498" s="33"/>
      <c r="F498" s="33"/>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32"/>
      <c r="C499" s="33"/>
      <c r="D499" s="33"/>
      <c r="E499" s="33"/>
      <c r="F499" s="33"/>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32"/>
      <c r="C500" s="33"/>
      <c r="D500" s="33"/>
      <c r="E500" s="33"/>
      <c r="F500" s="33"/>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32"/>
      <c r="C501" s="33"/>
      <c r="D501" s="33"/>
      <c r="E501" s="33"/>
      <c r="F501" s="33"/>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32"/>
      <c r="C502" s="33"/>
      <c r="D502" s="33"/>
      <c r="E502" s="33"/>
      <c r="F502" s="33"/>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32"/>
      <c r="C503" s="33"/>
      <c r="D503" s="33"/>
      <c r="E503" s="33"/>
      <c r="F503" s="33"/>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32"/>
      <c r="C504" s="33"/>
      <c r="D504" s="33"/>
      <c r="E504" s="33"/>
      <c r="F504" s="33"/>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32"/>
      <c r="C505" s="33"/>
      <c r="D505" s="33"/>
      <c r="E505" s="33"/>
      <c r="F505" s="33"/>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32"/>
      <c r="C506" s="33"/>
      <c r="D506" s="33"/>
      <c r="E506" s="33"/>
      <c r="F506" s="33"/>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32"/>
      <c r="C507" s="33"/>
      <c r="D507" s="33"/>
      <c r="E507" s="33"/>
      <c r="F507" s="33"/>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32"/>
      <c r="C508" s="33"/>
      <c r="D508" s="33"/>
      <c r="E508" s="33"/>
      <c r="F508" s="33"/>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32"/>
      <c r="C509" s="33"/>
      <c r="D509" s="33"/>
      <c r="E509" s="33"/>
      <c r="F509" s="33"/>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32"/>
      <c r="C510" s="33"/>
      <c r="D510" s="33"/>
      <c r="E510" s="33"/>
      <c r="F510" s="33"/>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32"/>
      <c r="C511" s="33"/>
      <c r="D511" s="33"/>
      <c r="E511" s="33"/>
      <c r="F511" s="33"/>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32"/>
      <c r="C512" s="33"/>
      <c r="D512" s="33"/>
      <c r="E512" s="33"/>
      <c r="F512" s="33"/>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32"/>
      <c r="C513" s="33"/>
      <c r="D513" s="33"/>
      <c r="E513" s="33"/>
      <c r="F513" s="33"/>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32"/>
      <c r="C514" s="33"/>
      <c r="D514" s="33"/>
      <c r="E514" s="33"/>
      <c r="F514" s="33"/>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32"/>
      <c r="C515" s="33"/>
      <c r="D515" s="33"/>
      <c r="E515" s="33"/>
      <c r="F515" s="33"/>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32"/>
      <c r="C516" s="33"/>
      <c r="D516" s="33"/>
      <c r="E516" s="33"/>
      <c r="F516" s="33"/>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32"/>
      <c r="C517" s="33"/>
      <c r="D517" s="33"/>
      <c r="E517" s="33"/>
      <c r="F517" s="33"/>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32"/>
      <c r="C518" s="33"/>
      <c r="D518" s="33"/>
      <c r="E518" s="33"/>
      <c r="F518" s="33"/>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32"/>
      <c r="C519" s="33"/>
      <c r="D519" s="33"/>
      <c r="E519" s="33"/>
      <c r="F519" s="33"/>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32"/>
      <c r="C520" s="33"/>
      <c r="D520" s="33"/>
      <c r="E520" s="33"/>
      <c r="F520" s="33"/>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32"/>
      <c r="C521" s="33"/>
      <c r="D521" s="33"/>
      <c r="E521" s="33"/>
      <c r="F521" s="33"/>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32"/>
      <c r="C522" s="33"/>
      <c r="D522" s="33"/>
      <c r="E522" s="33"/>
      <c r="F522" s="33"/>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32"/>
      <c r="C523" s="33"/>
      <c r="D523" s="33"/>
      <c r="E523" s="33"/>
      <c r="F523" s="33"/>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32"/>
      <c r="C524" s="33"/>
      <c r="D524" s="33"/>
      <c r="E524" s="33"/>
      <c r="F524" s="33"/>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32"/>
      <c r="C525" s="33"/>
      <c r="D525" s="33"/>
      <c r="E525" s="33"/>
      <c r="F525" s="33"/>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32"/>
      <c r="C526" s="33"/>
      <c r="D526" s="33"/>
      <c r="E526" s="33"/>
      <c r="F526" s="33"/>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32"/>
      <c r="C527" s="33"/>
      <c r="D527" s="33"/>
      <c r="E527" s="33"/>
      <c r="F527" s="33"/>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32"/>
      <c r="C528" s="33"/>
      <c r="D528" s="33"/>
      <c r="E528" s="33"/>
      <c r="F528" s="33"/>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32"/>
      <c r="C529" s="33"/>
      <c r="D529" s="33"/>
      <c r="E529" s="33"/>
      <c r="F529" s="33"/>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32"/>
      <c r="C530" s="33"/>
      <c r="D530" s="33"/>
      <c r="E530" s="33"/>
      <c r="F530" s="33"/>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32"/>
      <c r="C531" s="33"/>
      <c r="D531" s="33"/>
      <c r="E531" s="33"/>
      <c r="F531" s="33"/>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32"/>
      <c r="C532" s="33"/>
      <c r="D532" s="33"/>
      <c r="E532" s="33"/>
      <c r="F532" s="33"/>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32"/>
      <c r="C533" s="33"/>
      <c r="D533" s="33"/>
      <c r="E533" s="33"/>
      <c r="F533" s="33"/>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32"/>
      <c r="C534" s="33"/>
      <c r="D534" s="33"/>
      <c r="E534" s="33"/>
      <c r="F534" s="33"/>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32"/>
      <c r="C535" s="33"/>
      <c r="D535" s="33"/>
      <c r="E535" s="33"/>
      <c r="F535" s="33"/>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32"/>
      <c r="C536" s="33"/>
      <c r="D536" s="33"/>
      <c r="E536" s="33"/>
      <c r="F536" s="33"/>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32"/>
      <c r="C537" s="33"/>
      <c r="D537" s="33"/>
      <c r="E537" s="33"/>
      <c r="F537" s="33"/>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32"/>
      <c r="C538" s="33"/>
      <c r="D538" s="33"/>
      <c r="E538" s="33"/>
      <c r="F538" s="33"/>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32"/>
      <c r="C539" s="33"/>
      <c r="D539" s="33"/>
      <c r="E539" s="33"/>
      <c r="F539" s="33"/>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32"/>
      <c r="C540" s="33"/>
      <c r="D540" s="33"/>
      <c r="E540" s="33"/>
      <c r="F540" s="33"/>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32"/>
      <c r="C541" s="33"/>
      <c r="D541" s="33"/>
      <c r="E541" s="33"/>
      <c r="F541" s="33"/>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32"/>
      <c r="C542" s="33"/>
      <c r="D542" s="33"/>
      <c r="E542" s="33"/>
      <c r="F542" s="33"/>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32"/>
      <c r="C543" s="33"/>
      <c r="D543" s="33"/>
      <c r="E543" s="33"/>
      <c r="F543" s="33"/>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32"/>
      <c r="C544" s="33"/>
      <c r="D544" s="33"/>
      <c r="E544" s="33"/>
      <c r="F544" s="33"/>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32"/>
      <c r="C545" s="33"/>
      <c r="D545" s="33"/>
      <c r="E545" s="33"/>
      <c r="F545" s="33"/>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32"/>
      <c r="C546" s="33"/>
      <c r="D546" s="33"/>
      <c r="E546" s="33"/>
      <c r="F546" s="33"/>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32"/>
      <c r="C547" s="33"/>
      <c r="D547" s="33"/>
      <c r="E547" s="33"/>
      <c r="F547" s="33"/>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32"/>
      <c r="C548" s="33"/>
      <c r="D548" s="33"/>
      <c r="E548" s="33"/>
      <c r="F548" s="33"/>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32"/>
      <c r="C549" s="33"/>
      <c r="D549" s="33"/>
      <c r="E549" s="33"/>
      <c r="F549" s="33"/>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32"/>
      <c r="C550" s="33"/>
      <c r="D550" s="33"/>
      <c r="E550" s="33"/>
      <c r="F550" s="33"/>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32"/>
      <c r="C551" s="33"/>
      <c r="D551" s="33"/>
      <c r="E551" s="33"/>
      <c r="F551" s="33"/>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32"/>
      <c r="C552" s="33"/>
      <c r="D552" s="33"/>
      <c r="E552" s="33"/>
      <c r="F552" s="33"/>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32"/>
      <c r="C553" s="33"/>
      <c r="D553" s="33"/>
      <c r="E553" s="33"/>
      <c r="F553" s="33"/>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32"/>
      <c r="C554" s="33"/>
      <c r="D554" s="33"/>
      <c r="E554" s="33"/>
      <c r="F554" s="33"/>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32"/>
      <c r="C555" s="33"/>
      <c r="D555" s="33"/>
      <c r="E555" s="33"/>
      <c r="F555" s="33"/>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32"/>
      <c r="C556" s="33"/>
      <c r="D556" s="33"/>
      <c r="E556" s="33"/>
      <c r="F556" s="33"/>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32"/>
      <c r="C557" s="33"/>
      <c r="D557" s="33"/>
      <c r="E557" s="33"/>
      <c r="F557" s="33"/>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32"/>
      <c r="C558" s="33"/>
      <c r="D558" s="33"/>
      <c r="E558" s="33"/>
      <c r="F558" s="33"/>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32"/>
      <c r="C559" s="33"/>
      <c r="D559" s="33"/>
      <c r="E559" s="33"/>
      <c r="F559" s="33"/>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32"/>
      <c r="C560" s="33"/>
      <c r="D560" s="33"/>
      <c r="E560" s="33"/>
      <c r="F560" s="33"/>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32"/>
      <c r="C561" s="33"/>
      <c r="D561" s="33"/>
      <c r="E561" s="33"/>
      <c r="F561" s="33"/>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32"/>
      <c r="C562" s="33"/>
      <c r="D562" s="33"/>
      <c r="E562" s="33"/>
      <c r="F562" s="33"/>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32"/>
      <c r="C563" s="33"/>
      <c r="D563" s="33"/>
      <c r="E563" s="33"/>
      <c r="F563" s="33"/>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32"/>
      <c r="C564" s="33"/>
      <c r="D564" s="33"/>
      <c r="E564" s="33"/>
      <c r="F564" s="33"/>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32"/>
      <c r="C565" s="33"/>
      <c r="D565" s="33"/>
      <c r="E565" s="33"/>
      <c r="F565" s="33"/>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32"/>
      <c r="C566" s="33"/>
      <c r="D566" s="33"/>
      <c r="E566" s="33"/>
      <c r="F566" s="33"/>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32"/>
      <c r="C567" s="33"/>
      <c r="D567" s="33"/>
      <c r="E567" s="33"/>
      <c r="F567" s="33"/>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32"/>
      <c r="C568" s="33"/>
      <c r="D568" s="33"/>
      <c r="E568" s="33"/>
      <c r="F568" s="33"/>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32"/>
      <c r="C569" s="33"/>
      <c r="D569" s="33"/>
      <c r="E569" s="33"/>
      <c r="F569" s="33"/>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32"/>
      <c r="C570" s="33"/>
      <c r="D570" s="33"/>
      <c r="E570" s="33"/>
      <c r="F570" s="33"/>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32"/>
      <c r="C571" s="33"/>
      <c r="D571" s="33"/>
      <c r="E571" s="33"/>
      <c r="F571" s="33"/>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32"/>
      <c r="C572" s="33"/>
      <c r="D572" s="33"/>
      <c r="E572" s="33"/>
      <c r="F572" s="33"/>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32"/>
      <c r="C573" s="33"/>
      <c r="D573" s="33"/>
      <c r="E573" s="33"/>
      <c r="F573" s="33"/>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32"/>
      <c r="C574" s="33"/>
      <c r="D574" s="33"/>
      <c r="E574" s="33"/>
      <c r="F574" s="33"/>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32"/>
      <c r="C575" s="33"/>
      <c r="D575" s="33"/>
      <c r="E575" s="33"/>
      <c r="F575" s="33"/>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32"/>
      <c r="C576" s="33"/>
      <c r="D576" s="33"/>
      <c r="E576" s="33"/>
      <c r="F576" s="33"/>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32"/>
      <c r="C577" s="33"/>
      <c r="D577" s="33"/>
      <c r="E577" s="33"/>
      <c r="F577" s="33"/>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32"/>
      <c r="C578" s="33"/>
      <c r="D578" s="33"/>
      <c r="E578" s="33"/>
      <c r="F578" s="33"/>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32"/>
      <c r="C579" s="33"/>
      <c r="D579" s="33"/>
      <c r="E579" s="33"/>
      <c r="F579" s="33"/>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32"/>
      <c r="C580" s="33"/>
      <c r="D580" s="33"/>
      <c r="E580" s="33"/>
      <c r="F580" s="33"/>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32"/>
      <c r="C581" s="33"/>
      <c r="D581" s="33"/>
      <c r="E581" s="33"/>
      <c r="F581" s="33"/>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32"/>
      <c r="C582" s="33"/>
      <c r="D582" s="33"/>
      <c r="E582" s="33"/>
      <c r="F582" s="33"/>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32"/>
      <c r="C583" s="33"/>
      <c r="D583" s="33"/>
      <c r="E583" s="33"/>
      <c r="F583" s="33"/>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32"/>
      <c r="C584" s="33"/>
      <c r="D584" s="33"/>
      <c r="E584" s="33"/>
      <c r="F584" s="33"/>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32"/>
      <c r="C585" s="33"/>
      <c r="D585" s="33"/>
      <c r="E585" s="33"/>
      <c r="F585" s="33"/>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32"/>
      <c r="C586" s="33"/>
      <c r="D586" s="33"/>
      <c r="E586" s="33"/>
      <c r="F586" s="33"/>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32"/>
      <c r="C587" s="33"/>
      <c r="D587" s="33"/>
      <c r="E587" s="33"/>
      <c r="F587" s="33"/>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32"/>
      <c r="C588" s="33"/>
      <c r="D588" s="33"/>
      <c r="E588" s="33"/>
      <c r="F588" s="33"/>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32"/>
      <c r="C589" s="33"/>
      <c r="D589" s="33"/>
      <c r="E589" s="33"/>
      <c r="F589" s="33"/>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32"/>
      <c r="C590" s="33"/>
      <c r="D590" s="33"/>
      <c r="E590" s="33"/>
      <c r="F590" s="33"/>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32"/>
      <c r="C591" s="33"/>
      <c r="D591" s="33"/>
      <c r="E591" s="33"/>
      <c r="F591" s="33"/>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32"/>
      <c r="C592" s="33"/>
      <c r="D592" s="33"/>
      <c r="E592" s="33"/>
      <c r="F592" s="33"/>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32"/>
      <c r="C593" s="33"/>
      <c r="D593" s="33"/>
      <c r="E593" s="33"/>
      <c r="F593" s="33"/>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32"/>
      <c r="C594" s="33"/>
      <c r="D594" s="33"/>
      <c r="E594" s="33"/>
      <c r="F594" s="33"/>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32"/>
      <c r="C595" s="33"/>
      <c r="D595" s="33"/>
      <c r="E595" s="33"/>
      <c r="F595" s="33"/>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32"/>
      <c r="C596" s="33"/>
      <c r="D596" s="33"/>
      <c r="E596" s="33"/>
      <c r="F596" s="33"/>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32"/>
      <c r="C597" s="33"/>
      <c r="D597" s="33"/>
      <c r="E597" s="33"/>
      <c r="F597" s="33"/>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32"/>
      <c r="C598" s="33"/>
      <c r="D598" s="33"/>
      <c r="E598" s="33"/>
      <c r="F598" s="33"/>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32"/>
      <c r="C599" s="33"/>
      <c r="D599" s="33"/>
      <c r="E599" s="33"/>
      <c r="F599" s="33"/>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32"/>
      <c r="C600" s="33"/>
      <c r="D600" s="33"/>
      <c r="E600" s="33"/>
      <c r="F600" s="33"/>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32"/>
      <c r="C601" s="33"/>
      <c r="D601" s="33"/>
      <c r="E601" s="33"/>
      <c r="F601" s="33"/>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32"/>
      <c r="C602" s="33"/>
      <c r="D602" s="33"/>
      <c r="E602" s="33"/>
      <c r="F602" s="33"/>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32"/>
      <c r="C603" s="33"/>
      <c r="D603" s="33"/>
      <c r="E603" s="33"/>
      <c r="F603" s="33"/>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32"/>
      <c r="C604" s="33"/>
      <c r="D604" s="33"/>
      <c r="E604" s="33"/>
      <c r="F604" s="33"/>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32"/>
      <c r="C605" s="33"/>
      <c r="D605" s="33"/>
      <c r="E605" s="33"/>
      <c r="F605" s="33"/>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32"/>
      <c r="C606" s="33"/>
      <c r="D606" s="33"/>
      <c r="E606" s="33"/>
      <c r="F606" s="33"/>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32"/>
      <c r="C607" s="33"/>
      <c r="D607" s="33"/>
      <c r="E607" s="33"/>
      <c r="F607" s="33"/>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32"/>
      <c r="C608" s="33"/>
      <c r="D608" s="33"/>
      <c r="E608" s="33"/>
      <c r="F608" s="33"/>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32"/>
      <c r="C609" s="33"/>
      <c r="D609" s="33"/>
      <c r="E609" s="33"/>
      <c r="F609" s="33"/>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32"/>
      <c r="C610" s="33"/>
      <c r="D610" s="33"/>
      <c r="E610" s="33"/>
      <c r="F610" s="33"/>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32"/>
      <c r="C611" s="33"/>
      <c r="D611" s="33"/>
      <c r="E611" s="33"/>
      <c r="F611" s="33"/>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32"/>
      <c r="C612" s="33"/>
      <c r="D612" s="33"/>
      <c r="E612" s="33"/>
      <c r="F612" s="33"/>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32"/>
      <c r="C613" s="33"/>
      <c r="D613" s="33"/>
      <c r="E613" s="33"/>
      <c r="F613" s="33"/>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32"/>
      <c r="C614" s="33"/>
      <c r="D614" s="33"/>
      <c r="E614" s="33"/>
      <c r="F614" s="33"/>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32"/>
      <c r="C615" s="33"/>
      <c r="D615" s="33"/>
      <c r="E615" s="33"/>
      <c r="F615" s="33"/>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32"/>
      <c r="C616" s="33"/>
      <c r="D616" s="33"/>
      <c r="E616" s="33"/>
      <c r="F616" s="33"/>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32"/>
      <c r="C617" s="33"/>
      <c r="D617" s="33"/>
      <c r="E617" s="33"/>
      <c r="F617" s="33"/>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32"/>
      <c r="C618" s="33"/>
      <c r="D618" s="33"/>
      <c r="E618" s="33"/>
      <c r="F618" s="33"/>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32"/>
      <c r="C619" s="33"/>
      <c r="D619" s="33"/>
      <c r="E619" s="33"/>
      <c r="F619" s="33"/>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32"/>
      <c r="C620" s="33"/>
      <c r="D620" s="33"/>
      <c r="E620" s="33"/>
      <c r="F620" s="33"/>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32"/>
      <c r="C621" s="33"/>
      <c r="D621" s="33"/>
      <c r="E621" s="33"/>
      <c r="F621" s="33"/>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32"/>
      <c r="C622" s="33"/>
      <c r="D622" s="33"/>
      <c r="E622" s="33"/>
      <c r="F622" s="33"/>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32"/>
      <c r="C623" s="33"/>
      <c r="D623" s="33"/>
      <c r="E623" s="33"/>
      <c r="F623" s="33"/>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32"/>
      <c r="C624" s="33"/>
      <c r="D624" s="33"/>
      <c r="E624" s="33"/>
      <c r="F624" s="33"/>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32"/>
      <c r="C625" s="33"/>
      <c r="D625" s="33"/>
      <c r="E625" s="33"/>
      <c r="F625" s="33"/>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32"/>
      <c r="C626" s="33"/>
      <c r="D626" s="33"/>
      <c r="E626" s="33"/>
      <c r="F626" s="33"/>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32"/>
      <c r="C627" s="33"/>
      <c r="D627" s="33"/>
      <c r="E627" s="33"/>
      <c r="F627" s="33"/>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32"/>
      <c r="C628" s="33"/>
      <c r="D628" s="33"/>
      <c r="E628" s="33"/>
      <c r="F628" s="33"/>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32"/>
      <c r="C629" s="33"/>
      <c r="D629" s="33"/>
      <c r="E629" s="33"/>
      <c r="F629" s="33"/>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32"/>
      <c r="C630" s="33"/>
      <c r="D630" s="33"/>
      <c r="E630" s="33"/>
      <c r="F630" s="33"/>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32"/>
      <c r="C631" s="33"/>
      <c r="D631" s="33"/>
      <c r="E631" s="33"/>
      <c r="F631" s="33"/>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32"/>
      <c r="C632" s="33"/>
      <c r="D632" s="33"/>
      <c r="E632" s="33"/>
      <c r="F632" s="33"/>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32"/>
      <c r="C633" s="33"/>
      <c r="D633" s="33"/>
      <c r="E633" s="33"/>
      <c r="F633" s="33"/>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32"/>
      <c r="C634" s="33"/>
      <c r="D634" s="33"/>
      <c r="E634" s="33"/>
      <c r="F634" s="33"/>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32"/>
      <c r="C635" s="33"/>
      <c r="D635" s="33"/>
      <c r="E635" s="33"/>
      <c r="F635" s="33"/>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32"/>
      <c r="C636" s="33"/>
      <c r="D636" s="33"/>
      <c r="E636" s="33"/>
      <c r="F636" s="33"/>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32"/>
      <c r="C637" s="33"/>
      <c r="D637" s="33"/>
      <c r="E637" s="33"/>
      <c r="F637" s="33"/>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32"/>
      <c r="C638" s="33"/>
      <c r="D638" s="33"/>
      <c r="E638" s="33"/>
      <c r="F638" s="33"/>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32"/>
      <c r="C639" s="33"/>
      <c r="D639" s="33"/>
      <c r="E639" s="33"/>
      <c r="F639" s="33"/>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32"/>
      <c r="C640" s="33"/>
      <c r="D640" s="33"/>
      <c r="E640" s="33"/>
      <c r="F640" s="33"/>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32"/>
      <c r="C641" s="33"/>
      <c r="D641" s="33"/>
      <c r="E641" s="33"/>
      <c r="F641" s="33"/>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32"/>
      <c r="C642" s="33"/>
      <c r="D642" s="33"/>
      <c r="E642" s="33"/>
      <c r="F642" s="33"/>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32"/>
      <c r="C643" s="33"/>
      <c r="D643" s="33"/>
      <c r="E643" s="33"/>
      <c r="F643" s="33"/>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32"/>
      <c r="C644" s="33"/>
      <c r="D644" s="33"/>
      <c r="E644" s="33"/>
      <c r="F644" s="33"/>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32"/>
      <c r="C645" s="33"/>
      <c r="D645" s="33"/>
      <c r="E645" s="33"/>
      <c r="F645" s="33"/>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32"/>
      <c r="C646" s="33"/>
      <c r="D646" s="33"/>
      <c r="E646" s="33"/>
      <c r="F646" s="33"/>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32"/>
      <c r="C647" s="33"/>
      <c r="D647" s="33"/>
      <c r="E647" s="33"/>
      <c r="F647" s="33"/>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32"/>
      <c r="C648" s="33"/>
      <c r="D648" s="33"/>
      <c r="E648" s="33"/>
      <c r="F648" s="33"/>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32"/>
      <c r="C649" s="33"/>
      <c r="D649" s="33"/>
      <c r="E649" s="33"/>
      <c r="F649" s="33"/>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32"/>
      <c r="C650" s="33"/>
      <c r="D650" s="33"/>
      <c r="E650" s="33"/>
      <c r="F650" s="33"/>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32"/>
      <c r="C651" s="33"/>
      <c r="D651" s="33"/>
      <c r="E651" s="33"/>
      <c r="F651" s="33"/>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32"/>
      <c r="C652" s="33"/>
      <c r="D652" s="33"/>
      <c r="E652" s="33"/>
      <c r="F652" s="33"/>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32"/>
      <c r="C653" s="33"/>
      <c r="D653" s="33"/>
      <c r="E653" s="33"/>
      <c r="F653" s="33"/>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32"/>
      <c r="C654" s="33"/>
      <c r="D654" s="33"/>
      <c r="E654" s="33"/>
      <c r="F654" s="33"/>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32"/>
      <c r="C655" s="33"/>
      <c r="D655" s="33"/>
      <c r="E655" s="33"/>
      <c r="F655" s="33"/>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32"/>
      <c r="C656" s="33"/>
      <c r="D656" s="33"/>
      <c r="E656" s="33"/>
      <c r="F656" s="33"/>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32"/>
      <c r="C657" s="33"/>
      <c r="D657" s="33"/>
      <c r="E657" s="33"/>
      <c r="F657" s="33"/>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32"/>
      <c r="C658" s="33"/>
      <c r="D658" s="33"/>
      <c r="E658" s="33"/>
      <c r="F658" s="33"/>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32"/>
      <c r="C659" s="33"/>
      <c r="D659" s="33"/>
      <c r="E659" s="33"/>
      <c r="F659" s="33"/>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32"/>
      <c r="C660" s="33"/>
      <c r="D660" s="33"/>
      <c r="E660" s="33"/>
      <c r="F660" s="33"/>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32"/>
      <c r="C661" s="33"/>
      <c r="D661" s="33"/>
      <c r="E661" s="33"/>
      <c r="F661" s="33"/>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32"/>
      <c r="C662" s="33"/>
      <c r="D662" s="33"/>
      <c r="E662" s="33"/>
      <c r="F662" s="33"/>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32"/>
      <c r="C663" s="33"/>
      <c r="D663" s="33"/>
      <c r="E663" s="33"/>
      <c r="F663" s="33"/>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32"/>
      <c r="C664" s="33"/>
      <c r="D664" s="33"/>
      <c r="E664" s="33"/>
      <c r="F664" s="33"/>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32"/>
      <c r="C665" s="33"/>
      <c r="D665" s="33"/>
      <c r="E665" s="33"/>
      <c r="F665" s="33"/>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32"/>
      <c r="C666" s="33"/>
      <c r="D666" s="33"/>
      <c r="E666" s="33"/>
      <c r="F666" s="33"/>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32"/>
      <c r="C667" s="33"/>
      <c r="D667" s="33"/>
      <c r="E667" s="33"/>
      <c r="F667" s="33"/>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32"/>
      <c r="C668" s="33"/>
      <c r="D668" s="33"/>
      <c r="E668" s="33"/>
      <c r="F668" s="33"/>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32"/>
      <c r="C669" s="33"/>
      <c r="D669" s="33"/>
      <c r="E669" s="33"/>
      <c r="F669" s="33"/>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32"/>
      <c r="C670" s="33"/>
      <c r="D670" s="33"/>
      <c r="E670" s="33"/>
      <c r="F670" s="33"/>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32"/>
      <c r="C671" s="33"/>
      <c r="D671" s="33"/>
      <c r="E671" s="33"/>
      <c r="F671" s="33"/>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32"/>
      <c r="C672" s="33"/>
      <c r="D672" s="33"/>
      <c r="E672" s="33"/>
      <c r="F672" s="33"/>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32"/>
      <c r="C673" s="33"/>
      <c r="D673" s="33"/>
      <c r="E673" s="33"/>
      <c r="F673" s="33"/>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32"/>
      <c r="C674" s="33"/>
      <c r="D674" s="33"/>
      <c r="E674" s="33"/>
      <c r="F674" s="33"/>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32"/>
      <c r="C675" s="33"/>
      <c r="D675" s="33"/>
      <c r="E675" s="33"/>
      <c r="F675" s="33"/>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32"/>
      <c r="C676" s="33"/>
      <c r="D676" s="33"/>
      <c r="E676" s="33"/>
      <c r="F676" s="33"/>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32"/>
      <c r="C677" s="33"/>
      <c r="D677" s="33"/>
      <c r="E677" s="33"/>
      <c r="F677" s="33"/>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32"/>
      <c r="C678" s="33"/>
      <c r="D678" s="33"/>
      <c r="E678" s="33"/>
      <c r="F678" s="33"/>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32"/>
      <c r="C679" s="33"/>
      <c r="D679" s="33"/>
      <c r="E679" s="33"/>
      <c r="F679" s="33"/>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32"/>
      <c r="C680" s="33"/>
      <c r="D680" s="33"/>
      <c r="E680" s="33"/>
      <c r="F680" s="33"/>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32"/>
      <c r="C681" s="33"/>
      <c r="D681" s="33"/>
      <c r="E681" s="33"/>
      <c r="F681" s="33"/>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32"/>
      <c r="C682" s="33"/>
      <c r="D682" s="33"/>
      <c r="E682" s="33"/>
      <c r="F682" s="33"/>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32"/>
      <c r="C683" s="33"/>
      <c r="D683" s="33"/>
      <c r="E683" s="33"/>
      <c r="F683" s="33"/>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32"/>
      <c r="C684" s="33"/>
      <c r="D684" s="33"/>
      <c r="E684" s="33"/>
      <c r="F684" s="33"/>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32"/>
      <c r="C685" s="33"/>
      <c r="D685" s="33"/>
      <c r="E685" s="33"/>
      <c r="F685" s="33"/>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32"/>
      <c r="C686" s="33"/>
      <c r="D686" s="33"/>
      <c r="E686" s="33"/>
      <c r="F686" s="33"/>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32"/>
      <c r="C687" s="33"/>
      <c r="D687" s="33"/>
      <c r="E687" s="33"/>
      <c r="F687" s="33"/>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32"/>
      <c r="C688" s="33"/>
      <c r="D688" s="33"/>
      <c r="E688" s="33"/>
      <c r="F688" s="33"/>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32"/>
      <c r="C689" s="33"/>
      <c r="D689" s="33"/>
      <c r="E689" s="33"/>
      <c r="F689" s="33"/>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32"/>
      <c r="C690" s="33"/>
      <c r="D690" s="33"/>
      <c r="E690" s="33"/>
      <c r="F690" s="33"/>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32"/>
      <c r="C691" s="33"/>
      <c r="D691" s="33"/>
      <c r="E691" s="33"/>
      <c r="F691" s="33"/>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32"/>
      <c r="C692" s="33"/>
      <c r="D692" s="33"/>
      <c r="E692" s="33"/>
      <c r="F692" s="33"/>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32"/>
      <c r="C693" s="33"/>
      <c r="D693" s="33"/>
      <c r="E693" s="33"/>
      <c r="F693" s="33"/>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32"/>
      <c r="C694" s="33"/>
      <c r="D694" s="33"/>
      <c r="E694" s="33"/>
      <c r="F694" s="33"/>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32"/>
      <c r="C695" s="33"/>
      <c r="D695" s="33"/>
      <c r="E695" s="33"/>
      <c r="F695" s="33"/>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32"/>
      <c r="C696" s="33"/>
      <c r="D696" s="33"/>
      <c r="E696" s="33"/>
      <c r="F696" s="33"/>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32"/>
      <c r="C697" s="33"/>
      <c r="D697" s="33"/>
      <c r="E697" s="33"/>
      <c r="F697" s="33"/>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32"/>
      <c r="C698" s="33"/>
      <c r="D698" s="33"/>
      <c r="E698" s="33"/>
      <c r="F698" s="33"/>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32"/>
      <c r="C699" s="33"/>
      <c r="D699" s="33"/>
      <c r="E699" s="33"/>
      <c r="F699" s="33"/>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32"/>
      <c r="C700" s="33"/>
      <c r="D700" s="33"/>
      <c r="E700" s="33"/>
      <c r="F700" s="33"/>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32"/>
      <c r="C701" s="33"/>
      <c r="D701" s="33"/>
      <c r="E701" s="33"/>
      <c r="F701" s="33"/>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32"/>
      <c r="C702" s="33"/>
      <c r="D702" s="33"/>
      <c r="E702" s="33"/>
      <c r="F702" s="33"/>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32"/>
      <c r="C703" s="33"/>
      <c r="D703" s="33"/>
      <c r="E703" s="33"/>
      <c r="F703" s="33"/>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32"/>
      <c r="C704" s="33"/>
      <c r="D704" s="33"/>
      <c r="E704" s="33"/>
      <c r="F704" s="33"/>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32"/>
      <c r="C705" s="33"/>
      <c r="D705" s="33"/>
      <c r="E705" s="33"/>
      <c r="F705" s="33"/>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32"/>
      <c r="C706" s="33"/>
      <c r="D706" s="33"/>
      <c r="E706" s="33"/>
      <c r="F706" s="33"/>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32"/>
      <c r="C707" s="33"/>
      <c r="D707" s="33"/>
      <c r="E707" s="33"/>
      <c r="F707" s="33"/>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32"/>
      <c r="C708" s="33"/>
      <c r="D708" s="33"/>
      <c r="E708" s="33"/>
      <c r="F708" s="33"/>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32"/>
      <c r="C709" s="33"/>
      <c r="D709" s="33"/>
      <c r="E709" s="33"/>
      <c r="F709" s="33"/>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32"/>
      <c r="C710" s="33"/>
      <c r="D710" s="33"/>
      <c r="E710" s="33"/>
      <c r="F710" s="33"/>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32"/>
      <c r="C711" s="33"/>
      <c r="D711" s="33"/>
      <c r="E711" s="33"/>
      <c r="F711" s="33"/>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32"/>
      <c r="C712" s="33"/>
      <c r="D712" s="33"/>
      <c r="E712" s="33"/>
      <c r="F712" s="33"/>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32"/>
      <c r="C713" s="33"/>
      <c r="D713" s="33"/>
      <c r="E713" s="33"/>
      <c r="F713" s="33"/>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32"/>
      <c r="C714" s="33"/>
      <c r="D714" s="33"/>
      <c r="E714" s="33"/>
      <c r="F714" s="33"/>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32"/>
      <c r="C715" s="33"/>
      <c r="D715" s="33"/>
      <c r="E715" s="33"/>
      <c r="F715" s="33"/>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32"/>
      <c r="C716" s="33"/>
      <c r="D716" s="33"/>
      <c r="E716" s="33"/>
      <c r="F716" s="33"/>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32"/>
      <c r="C717" s="33"/>
      <c r="D717" s="33"/>
      <c r="E717" s="33"/>
      <c r="F717" s="33"/>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32"/>
      <c r="C718" s="33"/>
      <c r="D718" s="33"/>
      <c r="E718" s="33"/>
      <c r="F718" s="33"/>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32"/>
      <c r="C719" s="33"/>
      <c r="D719" s="33"/>
      <c r="E719" s="33"/>
      <c r="F719" s="33"/>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32"/>
      <c r="C720" s="33"/>
      <c r="D720" s="33"/>
      <c r="E720" s="33"/>
      <c r="F720" s="33"/>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32"/>
      <c r="C721" s="33"/>
      <c r="D721" s="33"/>
      <c r="E721" s="33"/>
      <c r="F721" s="33"/>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32"/>
      <c r="C722" s="33"/>
      <c r="D722" s="33"/>
      <c r="E722" s="33"/>
      <c r="F722" s="33"/>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32"/>
      <c r="C723" s="33"/>
      <c r="D723" s="33"/>
      <c r="E723" s="33"/>
      <c r="F723" s="33"/>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32"/>
      <c r="C724" s="33"/>
      <c r="D724" s="33"/>
      <c r="E724" s="33"/>
      <c r="F724" s="33"/>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32"/>
      <c r="C725" s="33"/>
      <c r="D725" s="33"/>
      <c r="E725" s="33"/>
      <c r="F725" s="33"/>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32"/>
      <c r="C726" s="33"/>
      <c r="D726" s="33"/>
      <c r="E726" s="33"/>
      <c r="F726" s="33"/>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32"/>
      <c r="C727" s="33"/>
      <c r="D727" s="33"/>
      <c r="E727" s="33"/>
      <c r="F727" s="33"/>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32"/>
      <c r="C728" s="33"/>
      <c r="D728" s="33"/>
      <c r="E728" s="33"/>
      <c r="F728" s="33"/>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32"/>
      <c r="C729" s="33"/>
      <c r="D729" s="33"/>
      <c r="E729" s="33"/>
      <c r="F729" s="33"/>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32"/>
      <c r="C730" s="33"/>
      <c r="D730" s="33"/>
      <c r="E730" s="33"/>
      <c r="F730" s="33"/>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32"/>
      <c r="C731" s="33"/>
      <c r="D731" s="33"/>
      <c r="E731" s="33"/>
      <c r="F731" s="33"/>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32"/>
      <c r="C732" s="33"/>
      <c r="D732" s="33"/>
      <c r="E732" s="33"/>
      <c r="F732" s="33"/>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32"/>
      <c r="C733" s="33"/>
      <c r="D733" s="33"/>
      <c r="E733" s="33"/>
      <c r="F733" s="33"/>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32"/>
      <c r="C734" s="33"/>
      <c r="D734" s="33"/>
      <c r="E734" s="33"/>
      <c r="F734" s="33"/>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32"/>
      <c r="C735" s="33"/>
      <c r="D735" s="33"/>
      <c r="E735" s="33"/>
      <c r="F735" s="33"/>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32"/>
      <c r="C736" s="33"/>
      <c r="D736" s="33"/>
      <c r="E736" s="33"/>
      <c r="F736" s="33"/>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32"/>
      <c r="C737" s="33"/>
      <c r="D737" s="33"/>
      <c r="E737" s="33"/>
      <c r="F737" s="33"/>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32"/>
      <c r="C738" s="33"/>
      <c r="D738" s="33"/>
      <c r="E738" s="33"/>
      <c r="F738" s="33"/>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32"/>
      <c r="C739" s="33"/>
      <c r="D739" s="33"/>
      <c r="E739" s="33"/>
      <c r="F739" s="33"/>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32"/>
      <c r="C740" s="33"/>
      <c r="D740" s="33"/>
      <c r="E740" s="33"/>
      <c r="F740" s="33"/>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32"/>
      <c r="C741" s="33"/>
      <c r="D741" s="33"/>
      <c r="E741" s="33"/>
      <c r="F741" s="33"/>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32"/>
      <c r="C742" s="33"/>
      <c r="D742" s="33"/>
      <c r="E742" s="33"/>
      <c r="F742" s="33"/>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32"/>
      <c r="C743" s="33"/>
      <c r="D743" s="33"/>
      <c r="E743" s="33"/>
      <c r="F743" s="33"/>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32"/>
      <c r="C744" s="33"/>
      <c r="D744" s="33"/>
      <c r="E744" s="33"/>
      <c r="F744" s="33"/>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32"/>
      <c r="C745" s="33"/>
      <c r="D745" s="33"/>
      <c r="E745" s="33"/>
      <c r="F745" s="33"/>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32"/>
      <c r="C746" s="33"/>
      <c r="D746" s="33"/>
      <c r="E746" s="33"/>
      <c r="F746" s="33"/>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32"/>
      <c r="C747" s="33"/>
      <c r="D747" s="33"/>
      <c r="E747" s="33"/>
      <c r="F747" s="33"/>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32"/>
      <c r="C748" s="33"/>
      <c r="D748" s="33"/>
      <c r="E748" s="33"/>
      <c r="F748" s="33"/>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32"/>
      <c r="C749" s="33"/>
      <c r="D749" s="33"/>
      <c r="E749" s="33"/>
      <c r="F749" s="33"/>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32"/>
      <c r="C750" s="33"/>
      <c r="D750" s="33"/>
      <c r="E750" s="33"/>
      <c r="F750" s="33"/>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32"/>
      <c r="C751" s="33"/>
      <c r="D751" s="33"/>
      <c r="E751" s="33"/>
      <c r="F751" s="33"/>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32"/>
      <c r="C752" s="33"/>
      <c r="D752" s="33"/>
      <c r="E752" s="33"/>
      <c r="F752" s="33"/>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32"/>
      <c r="C753" s="33"/>
      <c r="D753" s="33"/>
      <c r="E753" s="33"/>
      <c r="F753" s="33"/>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32"/>
      <c r="C754" s="33"/>
      <c r="D754" s="33"/>
      <c r="E754" s="33"/>
      <c r="F754" s="33"/>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32"/>
      <c r="C755" s="33"/>
      <c r="D755" s="33"/>
      <c r="E755" s="33"/>
      <c r="F755" s="33"/>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32"/>
      <c r="C756" s="33"/>
      <c r="D756" s="33"/>
      <c r="E756" s="33"/>
      <c r="F756" s="33"/>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32"/>
      <c r="C757" s="33"/>
      <c r="D757" s="33"/>
      <c r="E757" s="33"/>
      <c r="F757" s="33"/>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32"/>
      <c r="C758" s="33"/>
      <c r="D758" s="33"/>
      <c r="E758" s="33"/>
      <c r="F758" s="33"/>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32"/>
      <c r="C759" s="33"/>
      <c r="D759" s="33"/>
      <c r="E759" s="33"/>
      <c r="F759" s="33"/>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32"/>
      <c r="C760" s="33"/>
      <c r="D760" s="33"/>
      <c r="E760" s="33"/>
      <c r="F760" s="33"/>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32"/>
      <c r="C761" s="33"/>
      <c r="D761" s="33"/>
      <c r="E761" s="33"/>
      <c r="F761" s="33"/>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32"/>
      <c r="C762" s="33"/>
      <c r="D762" s="33"/>
      <c r="E762" s="33"/>
      <c r="F762" s="33"/>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32"/>
      <c r="C763" s="33"/>
      <c r="D763" s="33"/>
      <c r="E763" s="33"/>
      <c r="F763" s="33"/>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32"/>
      <c r="C764" s="33"/>
      <c r="D764" s="33"/>
      <c r="E764" s="33"/>
      <c r="F764" s="33"/>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32"/>
      <c r="C765" s="33"/>
      <c r="D765" s="33"/>
      <c r="E765" s="33"/>
      <c r="F765" s="33"/>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32"/>
      <c r="C766" s="33"/>
      <c r="D766" s="33"/>
      <c r="E766" s="33"/>
      <c r="F766" s="33"/>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32"/>
      <c r="C767" s="33"/>
      <c r="D767" s="33"/>
      <c r="E767" s="33"/>
      <c r="F767" s="33"/>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32"/>
      <c r="C768" s="33"/>
      <c r="D768" s="33"/>
      <c r="E768" s="33"/>
      <c r="F768" s="33"/>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32"/>
      <c r="C769" s="33"/>
      <c r="D769" s="33"/>
      <c r="E769" s="33"/>
      <c r="F769" s="33"/>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32"/>
      <c r="C770" s="33"/>
      <c r="D770" s="33"/>
      <c r="E770" s="33"/>
      <c r="F770" s="33"/>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32"/>
      <c r="C771" s="33"/>
      <c r="D771" s="33"/>
      <c r="E771" s="33"/>
      <c r="F771" s="33"/>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32"/>
      <c r="C772" s="33"/>
      <c r="D772" s="33"/>
      <c r="E772" s="33"/>
      <c r="F772" s="33"/>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32"/>
      <c r="C773" s="33"/>
      <c r="D773" s="33"/>
      <c r="E773" s="33"/>
      <c r="F773" s="33"/>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32"/>
      <c r="C774" s="33"/>
      <c r="D774" s="33"/>
      <c r="E774" s="33"/>
      <c r="F774" s="33"/>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32"/>
      <c r="C775" s="33"/>
      <c r="D775" s="33"/>
      <c r="E775" s="33"/>
      <c r="F775" s="33"/>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32"/>
      <c r="C776" s="33"/>
      <c r="D776" s="33"/>
      <c r="E776" s="33"/>
      <c r="F776" s="33"/>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32"/>
      <c r="C777" s="33"/>
      <c r="D777" s="33"/>
      <c r="E777" s="33"/>
      <c r="F777" s="33"/>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32"/>
      <c r="C778" s="33"/>
      <c r="D778" s="33"/>
      <c r="E778" s="33"/>
      <c r="F778" s="33"/>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32"/>
      <c r="C779" s="33"/>
      <c r="D779" s="33"/>
      <c r="E779" s="33"/>
      <c r="F779" s="33"/>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32"/>
      <c r="C780" s="33"/>
      <c r="D780" s="33"/>
      <c r="E780" s="33"/>
      <c r="F780" s="33"/>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32"/>
      <c r="C781" s="33"/>
      <c r="D781" s="33"/>
      <c r="E781" s="33"/>
      <c r="F781" s="33"/>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32"/>
      <c r="C782" s="33"/>
      <c r="D782" s="33"/>
      <c r="E782" s="33"/>
      <c r="F782" s="33"/>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32"/>
      <c r="C783" s="33"/>
      <c r="D783" s="33"/>
      <c r="E783" s="33"/>
      <c r="F783" s="33"/>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32"/>
      <c r="C784" s="33"/>
      <c r="D784" s="33"/>
      <c r="E784" s="33"/>
      <c r="F784" s="33"/>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32"/>
      <c r="C785" s="33"/>
      <c r="D785" s="33"/>
      <c r="E785" s="33"/>
      <c r="F785" s="33"/>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32"/>
      <c r="C786" s="33"/>
      <c r="D786" s="33"/>
      <c r="E786" s="33"/>
      <c r="F786" s="33"/>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32"/>
      <c r="C787" s="33"/>
      <c r="D787" s="33"/>
      <c r="E787" s="33"/>
      <c r="F787" s="33"/>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32"/>
      <c r="C788" s="33"/>
      <c r="D788" s="33"/>
      <c r="E788" s="33"/>
      <c r="F788" s="33"/>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32"/>
      <c r="C789" s="33"/>
      <c r="D789" s="33"/>
      <c r="E789" s="33"/>
      <c r="F789" s="33"/>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32"/>
      <c r="C790" s="33"/>
      <c r="D790" s="33"/>
      <c r="E790" s="33"/>
      <c r="F790" s="33"/>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32"/>
      <c r="C791" s="33"/>
      <c r="D791" s="33"/>
      <c r="E791" s="33"/>
      <c r="F791" s="33"/>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32"/>
      <c r="C792" s="33"/>
      <c r="D792" s="33"/>
      <c r="E792" s="33"/>
      <c r="F792" s="33"/>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32"/>
      <c r="C793" s="33"/>
      <c r="D793" s="33"/>
      <c r="E793" s="33"/>
      <c r="F793" s="33"/>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32"/>
      <c r="C794" s="33"/>
      <c r="D794" s="33"/>
      <c r="E794" s="33"/>
      <c r="F794" s="33"/>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32"/>
      <c r="C795" s="33"/>
      <c r="D795" s="33"/>
      <c r="E795" s="33"/>
      <c r="F795" s="33"/>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32"/>
      <c r="C796" s="33"/>
      <c r="D796" s="33"/>
      <c r="E796" s="33"/>
      <c r="F796" s="33"/>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32"/>
      <c r="C797" s="33"/>
      <c r="D797" s="33"/>
      <c r="E797" s="33"/>
      <c r="F797" s="33"/>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32"/>
      <c r="C798" s="33"/>
      <c r="D798" s="33"/>
      <c r="E798" s="33"/>
      <c r="F798" s="33"/>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32"/>
      <c r="C799" s="33"/>
      <c r="D799" s="33"/>
      <c r="E799" s="33"/>
      <c r="F799" s="33"/>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32"/>
      <c r="C800" s="33"/>
      <c r="D800" s="33"/>
      <c r="E800" s="33"/>
      <c r="F800" s="33"/>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32"/>
      <c r="C801" s="33"/>
      <c r="D801" s="33"/>
      <c r="E801" s="33"/>
      <c r="F801" s="33"/>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32"/>
      <c r="C802" s="33"/>
      <c r="D802" s="33"/>
      <c r="E802" s="33"/>
      <c r="F802" s="33"/>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32"/>
      <c r="C803" s="33"/>
      <c r="D803" s="33"/>
      <c r="E803" s="33"/>
      <c r="F803" s="33"/>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32"/>
      <c r="C804" s="33"/>
      <c r="D804" s="33"/>
      <c r="E804" s="33"/>
      <c r="F804" s="33"/>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32"/>
      <c r="C805" s="33"/>
      <c r="D805" s="33"/>
      <c r="E805" s="33"/>
      <c r="F805" s="33"/>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32"/>
      <c r="C806" s="33"/>
      <c r="D806" s="33"/>
      <c r="E806" s="33"/>
      <c r="F806" s="33"/>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32"/>
      <c r="C807" s="33"/>
      <c r="D807" s="33"/>
      <c r="E807" s="33"/>
      <c r="F807" s="33"/>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32"/>
      <c r="C808" s="33"/>
      <c r="D808" s="33"/>
      <c r="E808" s="33"/>
      <c r="F808" s="33"/>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32"/>
      <c r="C809" s="33"/>
      <c r="D809" s="33"/>
      <c r="E809" s="33"/>
      <c r="F809" s="33"/>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32"/>
      <c r="C810" s="33"/>
      <c r="D810" s="33"/>
      <c r="E810" s="33"/>
      <c r="F810" s="33"/>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32"/>
      <c r="C811" s="33"/>
      <c r="D811" s="33"/>
      <c r="E811" s="33"/>
      <c r="F811" s="33"/>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32"/>
      <c r="C812" s="33"/>
      <c r="D812" s="33"/>
      <c r="E812" s="33"/>
      <c r="F812" s="33"/>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32"/>
      <c r="C813" s="33"/>
      <c r="D813" s="33"/>
      <c r="E813" s="33"/>
      <c r="F813" s="33"/>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32"/>
      <c r="C814" s="33"/>
      <c r="D814" s="33"/>
      <c r="E814" s="33"/>
      <c r="F814" s="33"/>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32"/>
      <c r="C815" s="33"/>
      <c r="D815" s="33"/>
      <c r="E815" s="33"/>
      <c r="F815" s="33"/>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32"/>
      <c r="C816" s="33"/>
      <c r="D816" s="33"/>
      <c r="E816" s="33"/>
      <c r="F816" s="33"/>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32"/>
      <c r="C817" s="33"/>
      <c r="D817" s="33"/>
      <c r="E817" s="33"/>
      <c r="F817" s="33"/>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32"/>
      <c r="C818" s="33"/>
      <c r="D818" s="33"/>
      <c r="E818" s="33"/>
      <c r="F818" s="33"/>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32"/>
      <c r="C819" s="33"/>
      <c r="D819" s="33"/>
      <c r="E819" s="33"/>
      <c r="F819" s="33"/>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32"/>
      <c r="C820" s="33"/>
      <c r="D820" s="33"/>
      <c r="E820" s="33"/>
      <c r="F820" s="33"/>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32"/>
      <c r="C821" s="33"/>
      <c r="D821" s="33"/>
      <c r="E821" s="33"/>
      <c r="F821" s="33"/>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32"/>
      <c r="C822" s="33"/>
      <c r="D822" s="33"/>
      <c r="E822" s="33"/>
      <c r="F822" s="33"/>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32"/>
      <c r="C823" s="33"/>
      <c r="D823" s="33"/>
      <c r="E823" s="33"/>
      <c r="F823" s="33"/>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32"/>
      <c r="C824" s="33"/>
      <c r="D824" s="33"/>
      <c r="E824" s="33"/>
      <c r="F824" s="33"/>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32"/>
      <c r="C825" s="33"/>
      <c r="D825" s="33"/>
      <c r="E825" s="33"/>
      <c r="F825" s="33"/>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32"/>
      <c r="C826" s="33"/>
      <c r="D826" s="33"/>
      <c r="E826" s="33"/>
      <c r="F826" s="33"/>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32"/>
      <c r="C827" s="33"/>
      <c r="D827" s="33"/>
      <c r="E827" s="33"/>
      <c r="F827" s="33"/>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32"/>
      <c r="C828" s="33"/>
      <c r="D828" s="33"/>
      <c r="E828" s="33"/>
      <c r="F828" s="33"/>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32"/>
      <c r="C829" s="33"/>
      <c r="D829" s="33"/>
      <c r="E829" s="33"/>
      <c r="F829" s="33"/>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32"/>
      <c r="C830" s="33"/>
      <c r="D830" s="33"/>
      <c r="E830" s="33"/>
      <c r="F830" s="33"/>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32"/>
      <c r="C831" s="33"/>
      <c r="D831" s="33"/>
      <c r="E831" s="33"/>
      <c r="F831" s="33"/>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32"/>
      <c r="C832" s="33"/>
      <c r="D832" s="33"/>
      <c r="E832" s="33"/>
      <c r="F832" s="33"/>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32"/>
      <c r="C833" s="33"/>
      <c r="D833" s="33"/>
      <c r="E833" s="33"/>
      <c r="F833" s="33"/>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32"/>
      <c r="C834" s="33"/>
      <c r="D834" s="33"/>
      <c r="E834" s="33"/>
      <c r="F834" s="33"/>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32"/>
      <c r="C835" s="33"/>
      <c r="D835" s="33"/>
      <c r="E835" s="33"/>
      <c r="F835" s="33"/>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32"/>
      <c r="C836" s="33"/>
      <c r="D836" s="33"/>
      <c r="E836" s="33"/>
      <c r="F836" s="33"/>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32"/>
      <c r="C837" s="33"/>
      <c r="D837" s="33"/>
      <c r="E837" s="33"/>
      <c r="F837" s="33"/>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32"/>
      <c r="C838" s="33"/>
      <c r="D838" s="33"/>
      <c r="E838" s="33"/>
      <c r="F838" s="33"/>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32"/>
      <c r="C839" s="33"/>
      <c r="D839" s="33"/>
      <c r="E839" s="33"/>
      <c r="F839" s="33"/>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32"/>
      <c r="C840" s="33"/>
      <c r="D840" s="33"/>
      <c r="E840" s="33"/>
      <c r="F840" s="33"/>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32"/>
      <c r="C841" s="33"/>
      <c r="D841" s="33"/>
      <c r="E841" s="33"/>
      <c r="F841" s="33"/>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32"/>
      <c r="C842" s="33"/>
      <c r="D842" s="33"/>
      <c r="E842" s="33"/>
      <c r="F842" s="33"/>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32"/>
      <c r="C843" s="33"/>
      <c r="D843" s="33"/>
      <c r="E843" s="33"/>
      <c r="F843" s="33"/>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32"/>
      <c r="C844" s="33"/>
      <c r="D844" s="33"/>
      <c r="E844" s="33"/>
      <c r="F844" s="33"/>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32"/>
      <c r="C845" s="33"/>
      <c r="D845" s="33"/>
      <c r="E845" s="33"/>
      <c r="F845" s="33"/>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32"/>
      <c r="C846" s="33"/>
      <c r="D846" s="33"/>
      <c r="E846" s="33"/>
      <c r="F846" s="33"/>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32"/>
      <c r="C847" s="33"/>
      <c r="D847" s="33"/>
      <c r="E847" s="33"/>
      <c r="F847" s="33"/>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32"/>
      <c r="C848" s="33"/>
      <c r="D848" s="33"/>
      <c r="E848" s="33"/>
      <c r="F848" s="33"/>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32"/>
      <c r="C849" s="33"/>
      <c r="D849" s="33"/>
      <c r="E849" s="33"/>
      <c r="F849" s="33"/>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32"/>
      <c r="C850" s="33"/>
      <c r="D850" s="33"/>
      <c r="E850" s="33"/>
      <c r="F850" s="33"/>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32"/>
      <c r="C851" s="33"/>
      <c r="D851" s="33"/>
      <c r="E851" s="33"/>
      <c r="F851" s="33"/>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32"/>
      <c r="C852" s="33"/>
      <c r="D852" s="33"/>
      <c r="E852" s="33"/>
      <c r="F852" s="33"/>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32"/>
      <c r="C853" s="33"/>
      <c r="D853" s="33"/>
      <c r="E853" s="33"/>
      <c r="F853" s="33"/>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32"/>
      <c r="C854" s="33"/>
      <c r="D854" s="33"/>
      <c r="E854" s="33"/>
      <c r="F854" s="33"/>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32"/>
      <c r="C855" s="33"/>
      <c r="D855" s="33"/>
      <c r="E855" s="33"/>
      <c r="F855" s="33"/>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32"/>
      <c r="C856" s="33"/>
      <c r="D856" s="33"/>
      <c r="E856" s="33"/>
      <c r="F856" s="33"/>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32"/>
      <c r="C857" s="33"/>
      <c r="D857" s="33"/>
      <c r="E857" s="33"/>
      <c r="F857" s="33"/>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32"/>
      <c r="C858" s="33"/>
      <c r="D858" s="33"/>
      <c r="E858" s="33"/>
      <c r="F858" s="33"/>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32"/>
      <c r="C859" s="33"/>
      <c r="D859" s="33"/>
      <c r="E859" s="33"/>
      <c r="F859" s="33"/>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32"/>
      <c r="C860" s="33"/>
      <c r="D860" s="33"/>
      <c r="E860" s="33"/>
      <c r="F860" s="33"/>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32"/>
      <c r="C861" s="33"/>
      <c r="D861" s="33"/>
      <c r="E861" s="33"/>
      <c r="F861" s="33"/>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32"/>
      <c r="C862" s="33"/>
      <c r="D862" s="33"/>
      <c r="E862" s="33"/>
      <c r="F862" s="33"/>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32"/>
      <c r="C863" s="33"/>
      <c r="D863" s="33"/>
      <c r="E863" s="33"/>
      <c r="F863" s="33"/>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32"/>
      <c r="C864" s="33"/>
      <c r="D864" s="33"/>
      <c r="E864" s="33"/>
      <c r="F864" s="33"/>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32"/>
      <c r="C865" s="33"/>
      <c r="D865" s="33"/>
      <c r="E865" s="33"/>
      <c r="F865" s="33"/>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32"/>
      <c r="C866" s="33"/>
      <c r="D866" s="33"/>
      <c r="E866" s="33"/>
      <c r="F866" s="33"/>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32"/>
      <c r="C867" s="33"/>
      <c r="D867" s="33"/>
      <c r="E867" s="33"/>
      <c r="F867" s="33"/>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32"/>
      <c r="C868" s="33"/>
      <c r="D868" s="33"/>
      <c r="E868" s="33"/>
      <c r="F868" s="33"/>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32"/>
      <c r="C869" s="33"/>
      <c r="D869" s="33"/>
      <c r="E869" s="33"/>
      <c r="F869" s="33"/>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32"/>
      <c r="C870" s="33"/>
      <c r="D870" s="33"/>
      <c r="E870" s="33"/>
      <c r="F870" s="33"/>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32"/>
      <c r="C871" s="33"/>
      <c r="D871" s="33"/>
      <c r="E871" s="33"/>
      <c r="F871" s="33"/>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32"/>
      <c r="C872" s="33"/>
      <c r="D872" s="33"/>
      <c r="E872" s="33"/>
      <c r="F872" s="33"/>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32"/>
      <c r="C873" s="33"/>
      <c r="D873" s="33"/>
      <c r="E873" s="33"/>
      <c r="F873" s="33"/>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32"/>
      <c r="C874" s="33"/>
      <c r="D874" s="33"/>
      <c r="E874" s="33"/>
      <c r="F874" s="33"/>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32"/>
      <c r="C875" s="33"/>
      <c r="D875" s="33"/>
      <c r="E875" s="33"/>
      <c r="F875" s="33"/>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32"/>
      <c r="C876" s="33"/>
      <c r="D876" s="33"/>
      <c r="E876" s="33"/>
      <c r="F876" s="33"/>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32"/>
      <c r="C877" s="33"/>
      <c r="D877" s="33"/>
      <c r="E877" s="33"/>
      <c r="F877" s="33"/>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32"/>
      <c r="C878" s="33"/>
      <c r="D878" s="33"/>
      <c r="E878" s="33"/>
      <c r="F878" s="33"/>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32"/>
      <c r="C879" s="33"/>
      <c r="D879" s="33"/>
      <c r="E879" s="33"/>
      <c r="F879" s="33"/>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32"/>
      <c r="C880" s="33"/>
      <c r="D880" s="33"/>
      <c r="E880" s="33"/>
      <c r="F880" s="33"/>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32"/>
      <c r="C881" s="33"/>
      <c r="D881" s="33"/>
      <c r="E881" s="33"/>
      <c r="F881" s="33"/>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32"/>
      <c r="C882" s="33"/>
      <c r="D882" s="33"/>
      <c r="E882" s="33"/>
      <c r="F882" s="33"/>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32"/>
      <c r="C883" s="33"/>
      <c r="D883" s="33"/>
      <c r="E883" s="33"/>
      <c r="F883" s="33"/>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32"/>
      <c r="C884" s="33"/>
      <c r="D884" s="33"/>
      <c r="E884" s="33"/>
      <c r="F884" s="33"/>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32"/>
      <c r="C885" s="33"/>
      <c r="D885" s="33"/>
      <c r="E885" s="33"/>
      <c r="F885" s="33"/>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32"/>
      <c r="C886" s="33"/>
      <c r="D886" s="33"/>
      <c r="E886" s="33"/>
      <c r="F886" s="33"/>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32"/>
      <c r="C887" s="33"/>
      <c r="D887" s="33"/>
      <c r="E887" s="33"/>
      <c r="F887" s="33"/>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32"/>
      <c r="C888" s="33"/>
      <c r="D888" s="33"/>
      <c r="E888" s="33"/>
      <c r="F888" s="33"/>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32"/>
      <c r="C889" s="33"/>
      <c r="D889" s="33"/>
      <c r="E889" s="33"/>
      <c r="F889" s="33"/>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32"/>
      <c r="C890" s="33"/>
      <c r="D890" s="33"/>
      <c r="E890" s="33"/>
      <c r="F890" s="33"/>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32"/>
      <c r="C891" s="33"/>
      <c r="D891" s="33"/>
      <c r="E891" s="33"/>
      <c r="F891" s="33"/>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32"/>
      <c r="C892" s="33"/>
      <c r="D892" s="33"/>
      <c r="E892" s="33"/>
      <c r="F892" s="33"/>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32"/>
      <c r="C893" s="33"/>
      <c r="D893" s="33"/>
      <c r="E893" s="33"/>
      <c r="F893" s="33"/>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32"/>
      <c r="C894" s="33"/>
      <c r="D894" s="33"/>
      <c r="E894" s="33"/>
      <c r="F894" s="33"/>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32"/>
      <c r="C895" s="33"/>
      <c r="D895" s="33"/>
      <c r="E895" s="33"/>
      <c r="F895" s="33"/>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32"/>
      <c r="C896" s="33"/>
      <c r="D896" s="33"/>
      <c r="E896" s="33"/>
      <c r="F896" s="33"/>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32"/>
      <c r="C897" s="33"/>
      <c r="D897" s="33"/>
      <c r="E897" s="33"/>
      <c r="F897" s="33"/>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32"/>
      <c r="C898" s="33"/>
      <c r="D898" s="33"/>
      <c r="E898" s="33"/>
      <c r="F898" s="33"/>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32"/>
      <c r="C899" s="33"/>
      <c r="D899" s="33"/>
      <c r="E899" s="33"/>
      <c r="F899" s="33"/>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32"/>
      <c r="C900" s="33"/>
      <c r="D900" s="33"/>
      <c r="E900" s="33"/>
      <c r="F900" s="33"/>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32"/>
      <c r="C901" s="33"/>
      <c r="D901" s="33"/>
      <c r="E901" s="33"/>
      <c r="F901" s="33"/>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32"/>
      <c r="C902" s="33"/>
      <c r="D902" s="33"/>
      <c r="E902" s="33"/>
      <c r="F902" s="33"/>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32"/>
      <c r="C903" s="33"/>
      <c r="D903" s="33"/>
      <c r="E903" s="33"/>
      <c r="F903" s="33"/>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32"/>
      <c r="C904" s="33"/>
      <c r="D904" s="33"/>
      <c r="E904" s="33"/>
      <c r="F904" s="33"/>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32"/>
      <c r="C905" s="33"/>
      <c r="D905" s="33"/>
      <c r="E905" s="33"/>
      <c r="F905" s="33"/>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32"/>
      <c r="C906" s="33"/>
      <c r="D906" s="33"/>
      <c r="E906" s="33"/>
      <c r="F906" s="33"/>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32"/>
      <c r="C907" s="33"/>
      <c r="D907" s="33"/>
      <c r="E907" s="33"/>
      <c r="F907" s="33"/>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32"/>
      <c r="C908" s="33"/>
      <c r="D908" s="33"/>
      <c r="E908" s="33"/>
      <c r="F908" s="33"/>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32"/>
      <c r="C909" s="33"/>
      <c r="D909" s="33"/>
      <c r="E909" s="33"/>
      <c r="F909" s="33"/>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32"/>
      <c r="C910" s="33"/>
      <c r="D910" s="33"/>
      <c r="E910" s="33"/>
      <c r="F910" s="33"/>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32"/>
      <c r="C911" s="33"/>
      <c r="D911" s="33"/>
      <c r="E911" s="33"/>
      <c r="F911" s="33"/>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32"/>
      <c r="C912" s="33"/>
      <c r="D912" s="33"/>
      <c r="E912" s="33"/>
      <c r="F912" s="33"/>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32"/>
      <c r="C913" s="33"/>
      <c r="D913" s="33"/>
      <c r="E913" s="33"/>
      <c r="F913" s="33"/>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32"/>
      <c r="C914" s="33"/>
      <c r="D914" s="33"/>
      <c r="E914" s="33"/>
      <c r="F914" s="33"/>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32"/>
      <c r="C915" s="33"/>
      <c r="D915" s="33"/>
      <c r="E915" s="33"/>
      <c r="F915" s="33"/>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32"/>
      <c r="C916" s="33"/>
      <c r="D916" s="33"/>
      <c r="E916" s="33"/>
      <c r="F916" s="33"/>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32"/>
      <c r="C917" s="33"/>
      <c r="D917" s="33"/>
      <c r="E917" s="33"/>
      <c r="F917" s="33"/>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32"/>
      <c r="C918" s="33"/>
      <c r="D918" s="33"/>
      <c r="E918" s="33"/>
      <c r="F918" s="33"/>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32"/>
      <c r="C919" s="33"/>
      <c r="D919" s="33"/>
      <c r="E919" s="33"/>
      <c r="F919" s="33"/>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32"/>
      <c r="C920" s="33"/>
      <c r="D920" s="33"/>
      <c r="E920" s="33"/>
      <c r="F920" s="33"/>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32"/>
      <c r="C921" s="33"/>
      <c r="D921" s="33"/>
      <c r="E921" s="33"/>
      <c r="F921" s="33"/>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32"/>
      <c r="C922" s="33"/>
      <c r="D922" s="33"/>
      <c r="E922" s="33"/>
      <c r="F922" s="33"/>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32"/>
      <c r="C923" s="33"/>
      <c r="D923" s="33"/>
      <c r="E923" s="33"/>
      <c r="F923" s="33"/>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32"/>
      <c r="C924" s="33"/>
      <c r="D924" s="33"/>
      <c r="E924" s="33"/>
      <c r="F924" s="33"/>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32"/>
      <c r="C925" s="33"/>
      <c r="D925" s="33"/>
      <c r="E925" s="33"/>
      <c r="F925" s="33"/>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32"/>
      <c r="C926" s="33"/>
      <c r="D926" s="33"/>
      <c r="E926" s="33"/>
      <c r="F926" s="33"/>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32"/>
      <c r="C927" s="33"/>
      <c r="D927" s="33"/>
      <c r="E927" s="33"/>
      <c r="F927" s="33"/>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32"/>
      <c r="C928" s="33"/>
      <c r="D928" s="33"/>
      <c r="E928" s="33"/>
      <c r="F928" s="33"/>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32"/>
      <c r="C929" s="33"/>
      <c r="D929" s="33"/>
      <c r="E929" s="33"/>
      <c r="F929" s="33"/>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32"/>
      <c r="C930" s="33"/>
      <c r="D930" s="33"/>
      <c r="E930" s="33"/>
      <c r="F930" s="33"/>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32"/>
      <c r="C931" s="33"/>
      <c r="D931" s="33"/>
      <c r="E931" s="33"/>
      <c r="F931" s="33"/>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32"/>
      <c r="C932" s="33"/>
      <c r="D932" s="33"/>
      <c r="E932" s="33"/>
      <c r="F932" s="33"/>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32"/>
      <c r="C933" s="33"/>
      <c r="D933" s="33"/>
      <c r="E933" s="33"/>
      <c r="F933" s="33"/>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32"/>
      <c r="C934" s="33"/>
      <c r="D934" s="33"/>
      <c r="E934" s="33"/>
      <c r="F934" s="33"/>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32"/>
      <c r="C935" s="33"/>
      <c r="D935" s="33"/>
      <c r="E935" s="33"/>
      <c r="F935" s="33"/>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32"/>
      <c r="C936" s="33"/>
      <c r="D936" s="33"/>
      <c r="E936" s="33"/>
      <c r="F936" s="33"/>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32"/>
      <c r="C937" s="33"/>
      <c r="D937" s="33"/>
      <c r="E937" s="33"/>
      <c r="F937" s="33"/>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32"/>
      <c r="C938" s="33"/>
      <c r="D938" s="33"/>
      <c r="E938" s="33"/>
      <c r="F938" s="33"/>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32"/>
      <c r="C939" s="33"/>
      <c r="D939" s="33"/>
      <c r="E939" s="33"/>
      <c r="F939" s="33"/>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32"/>
      <c r="C940" s="33"/>
      <c r="D940" s="33"/>
      <c r="E940" s="33"/>
      <c r="F940" s="33"/>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32"/>
      <c r="C941" s="33"/>
      <c r="D941" s="33"/>
      <c r="E941" s="33"/>
      <c r="F941" s="33"/>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32"/>
      <c r="C942" s="33"/>
      <c r="D942" s="33"/>
      <c r="E942" s="33"/>
      <c r="F942" s="33"/>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32"/>
      <c r="C943" s="33"/>
      <c r="D943" s="33"/>
      <c r="E943" s="33"/>
      <c r="F943" s="33"/>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32"/>
      <c r="C944" s="33"/>
      <c r="D944" s="33"/>
      <c r="E944" s="33"/>
      <c r="F944" s="33"/>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32"/>
      <c r="C945" s="33"/>
      <c r="D945" s="33"/>
      <c r="E945" s="33"/>
      <c r="F945" s="33"/>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32"/>
      <c r="C946" s="33"/>
      <c r="D946" s="33"/>
      <c r="E946" s="33"/>
      <c r="F946" s="33"/>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32"/>
      <c r="C947" s="33"/>
      <c r="D947" s="33"/>
      <c r="E947" s="33"/>
      <c r="F947" s="33"/>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32"/>
      <c r="C948" s="33"/>
      <c r="D948" s="33"/>
      <c r="E948" s="33"/>
      <c r="F948" s="33"/>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32"/>
      <c r="C949" s="33"/>
      <c r="D949" s="33"/>
      <c r="E949" s="33"/>
      <c r="F949" s="33"/>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32"/>
      <c r="C950" s="33"/>
      <c r="D950" s="33"/>
      <c r="E950" s="33"/>
      <c r="F950" s="33"/>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32"/>
      <c r="C951" s="33"/>
      <c r="D951" s="33"/>
      <c r="E951" s="33"/>
      <c r="F951" s="33"/>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32"/>
      <c r="C952" s="33"/>
      <c r="D952" s="33"/>
      <c r="E952" s="33"/>
      <c r="F952" s="33"/>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32"/>
      <c r="C953" s="33"/>
      <c r="D953" s="33"/>
      <c r="E953" s="33"/>
      <c r="F953" s="33"/>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32"/>
      <c r="C954" s="33"/>
      <c r="D954" s="33"/>
      <c r="E954" s="33"/>
      <c r="F954" s="33"/>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32"/>
      <c r="C955" s="33"/>
      <c r="D955" s="33"/>
      <c r="E955" s="33"/>
      <c r="F955" s="33"/>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32"/>
      <c r="C956" s="33"/>
      <c r="D956" s="33"/>
      <c r="E956" s="33"/>
      <c r="F956" s="33"/>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32"/>
      <c r="C957" s="33"/>
      <c r="D957" s="33"/>
      <c r="E957" s="33"/>
      <c r="F957" s="33"/>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32"/>
      <c r="C958" s="33"/>
      <c r="D958" s="33"/>
      <c r="E958" s="33"/>
      <c r="F958" s="33"/>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32"/>
      <c r="C959" s="33"/>
      <c r="D959" s="33"/>
      <c r="E959" s="33"/>
      <c r="F959" s="33"/>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32"/>
      <c r="C960" s="33"/>
      <c r="D960" s="33"/>
      <c r="E960" s="33"/>
      <c r="F960" s="33"/>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32"/>
      <c r="C961" s="33"/>
      <c r="D961" s="33"/>
      <c r="E961" s="33"/>
      <c r="F961" s="33"/>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32"/>
      <c r="C962" s="33"/>
      <c r="D962" s="33"/>
      <c r="E962" s="33"/>
      <c r="F962" s="33"/>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32"/>
      <c r="C963" s="33"/>
      <c r="D963" s="33"/>
      <c r="E963" s="33"/>
      <c r="F963" s="33"/>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32"/>
      <c r="C964" s="33"/>
      <c r="D964" s="33"/>
      <c r="E964" s="33"/>
      <c r="F964" s="33"/>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32"/>
      <c r="C965" s="33"/>
      <c r="D965" s="33"/>
      <c r="E965" s="33"/>
      <c r="F965" s="33"/>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32"/>
      <c r="C966" s="33"/>
      <c r="D966" s="33"/>
      <c r="E966" s="33"/>
      <c r="F966" s="33"/>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32"/>
      <c r="C967" s="33"/>
      <c r="D967" s="33"/>
      <c r="E967" s="33"/>
      <c r="F967" s="33"/>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32"/>
      <c r="C968" s="33"/>
      <c r="D968" s="33"/>
      <c r="E968" s="33"/>
      <c r="F968" s="33"/>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32"/>
      <c r="C969" s="33"/>
      <c r="D969" s="33"/>
      <c r="E969" s="33"/>
      <c r="F969" s="33"/>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32"/>
      <c r="C970" s="33"/>
      <c r="D970" s="33"/>
      <c r="E970" s="33"/>
      <c r="F970" s="33"/>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32"/>
      <c r="C971" s="33"/>
      <c r="D971" s="33"/>
      <c r="E971" s="33"/>
      <c r="F971" s="33"/>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32"/>
      <c r="C972" s="33"/>
      <c r="D972" s="33"/>
      <c r="E972" s="33"/>
      <c r="F972" s="33"/>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32"/>
      <c r="C973" s="33"/>
      <c r="D973" s="33"/>
      <c r="E973" s="33"/>
      <c r="F973" s="33"/>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32"/>
      <c r="C974" s="33"/>
      <c r="D974" s="33"/>
      <c r="E974" s="33"/>
      <c r="F974" s="33"/>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32"/>
      <c r="C975" s="33"/>
      <c r="D975" s="33"/>
      <c r="E975" s="33"/>
      <c r="F975" s="33"/>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32"/>
      <c r="C976" s="33"/>
      <c r="D976" s="33"/>
      <c r="E976" s="33"/>
      <c r="F976" s="33"/>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32"/>
      <c r="C977" s="33"/>
      <c r="D977" s="33"/>
      <c r="E977" s="33"/>
      <c r="F977" s="33"/>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32"/>
      <c r="C978" s="33"/>
      <c r="D978" s="33"/>
      <c r="E978" s="33"/>
      <c r="F978" s="33"/>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32"/>
      <c r="C979" s="33"/>
      <c r="D979" s="33"/>
      <c r="E979" s="33"/>
      <c r="F979" s="33"/>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32"/>
      <c r="C980" s="33"/>
      <c r="D980" s="33"/>
      <c r="E980" s="33"/>
      <c r="F980" s="33"/>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32"/>
      <c r="C981" s="33"/>
      <c r="D981" s="33"/>
      <c r="E981" s="33"/>
      <c r="F981" s="33"/>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32"/>
      <c r="C982" s="33"/>
      <c r="D982" s="33"/>
      <c r="E982" s="33"/>
      <c r="F982" s="33"/>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32"/>
      <c r="C983" s="33"/>
      <c r="D983" s="33"/>
      <c r="E983" s="33"/>
      <c r="F983" s="33"/>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32"/>
      <c r="C984" s="33"/>
      <c r="D984" s="33"/>
      <c r="E984" s="33"/>
      <c r="F984" s="33"/>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32"/>
      <c r="C985" s="33"/>
      <c r="D985" s="33"/>
      <c r="E985" s="33"/>
      <c r="F985" s="33"/>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32"/>
      <c r="C986" s="33"/>
      <c r="D986" s="33"/>
      <c r="E986" s="33"/>
      <c r="F986" s="33"/>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32"/>
      <c r="C987" s="33"/>
      <c r="D987" s="33"/>
      <c r="E987" s="33"/>
      <c r="F987" s="33"/>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32"/>
      <c r="C988" s="33"/>
      <c r="D988" s="33"/>
      <c r="E988" s="33"/>
      <c r="F988" s="33"/>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32"/>
      <c r="C989" s="33"/>
      <c r="D989" s="33"/>
      <c r="E989" s="33"/>
      <c r="F989" s="33"/>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32"/>
      <c r="C990" s="33"/>
      <c r="D990" s="33"/>
      <c r="E990" s="33"/>
      <c r="F990" s="33"/>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32"/>
      <c r="C991" s="33"/>
      <c r="D991" s="33"/>
      <c r="E991" s="33"/>
      <c r="F991" s="33"/>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32"/>
      <c r="C992" s="33"/>
      <c r="D992" s="33"/>
      <c r="E992" s="33"/>
      <c r="F992" s="33"/>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32"/>
      <c r="C993" s="33"/>
      <c r="D993" s="33"/>
      <c r="E993" s="33"/>
      <c r="F993" s="33"/>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32"/>
      <c r="C994" s="33"/>
      <c r="D994" s="33"/>
      <c r="E994" s="33"/>
      <c r="F994" s="33"/>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32"/>
      <c r="C995" s="33"/>
      <c r="D995" s="33"/>
      <c r="E995" s="33"/>
      <c r="F995" s="33"/>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32"/>
      <c r="C996" s="33"/>
      <c r="D996" s="33"/>
      <c r="E996" s="33"/>
      <c r="F996" s="33"/>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32"/>
      <c r="C997" s="33"/>
      <c r="D997" s="33"/>
      <c r="E997" s="33"/>
      <c r="F997" s="33"/>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32"/>
      <c r="C998" s="33"/>
      <c r="D998" s="33"/>
      <c r="E998" s="33"/>
      <c r="F998" s="33"/>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32"/>
      <c r="C999" s="33"/>
      <c r="D999" s="33"/>
      <c r="E999" s="33"/>
      <c r="F999" s="33"/>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32"/>
      <c r="C1000" s="33"/>
      <c r="D1000" s="33"/>
      <c r="E1000" s="33"/>
      <c r="F1000" s="33"/>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4791666666666667" right="0.74791666666666667" top="0.98402777777777783" bottom="1.1506944444444445" header="0" footer="0"/>
  <pageSetup paperSize="9" orientation="landscape" useFirstPageNumber="1" horizontalDpi="4294967295" verticalDpi="4294967295"/>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heetViews>
  <sheetFormatPr defaultColWidth="12.6640625" defaultRowHeight="14.4"/>
  <cols>
    <col min="1" max="1" width="4.44140625" customWidth="1"/>
    <col min="2" max="2" width="18.33203125" customWidth="1"/>
    <col min="3" max="3" width="32.6640625" customWidth="1"/>
    <col min="4" max="4" width="14" customWidth="1"/>
    <col min="5" max="5" width="16.88671875" customWidth="1"/>
    <col min="6" max="6" width="11.77734375" customWidth="1"/>
    <col min="7" max="7" width="12.33203125" customWidth="1"/>
    <col min="8" max="8" width="35.44140625" customWidth="1"/>
  </cols>
  <sheetData>
    <row r="1" spans="1:26" ht="25.5" customHeight="1">
      <c r="A1" s="7"/>
      <c r="B1" s="110" t="s">
        <v>131</v>
      </c>
      <c r="C1" s="111"/>
      <c r="D1" s="111"/>
      <c r="E1" s="111"/>
      <c r="F1" s="111"/>
      <c r="G1" s="111"/>
      <c r="H1" s="111"/>
      <c r="I1" s="7"/>
      <c r="J1" s="7"/>
      <c r="K1" s="7"/>
      <c r="L1" s="7"/>
      <c r="M1" s="7"/>
      <c r="N1" s="7"/>
      <c r="O1" s="7"/>
      <c r="P1" s="7"/>
      <c r="Q1" s="7"/>
      <c r="R1" s="7"/>
      <c r="S1" s="7"/>
      <c r="T1" s="7"/>
      <c r="U1" s="7"/>
      <c r="V1" s="7"/>
      <c r="W1" s="7"/>
      <c r="X1" s="7"/>
      <c r="Y1" s="7"/>
      <c r="Z1" s="7"/>
    </row>
    <row r="2" spans="1:26" ht="14.25" customHeight="1">
      <c r="A2" s="50"/>
      <c r="B2" s="50"/>
      <c r="C2" s="7"/>
      <c r="D2" s="7"/>
      <c r="E2" s="7"/>
      <c r="F2" s="7"/>
      <c r="G2" s="7"/>
      <c r="H2" s="51"/>
      <c r="I2" s="7"/>
      <c r="J2" s="7"/>
      <c r="K2" s="7"/>
      <c r="L2" s="7"/>
      <c r="M2" s="7"/>
      <c r="N2" s="7"/>
      <c r="O2" s="7"/>
      <c r="P2" s="7"/>
      <c r="Q2" s="7"/>
      <c r="R2" s="7"/>
      <c r="S2" s="7"/>
      <c r="T2" s="7"/>
      <c r="U2" s="7"/>
      <c r="V2" s="7"/>
      <c r="W2" s="7"/>
      <c r="X2" s="7"/>
      <c r="Y2" s="7"/>
      <c r="Z2" s="7"/>
    </row>
    <row r="3" spans="1:26" ht="12" customHeight="1">
      <c r="A3" s="7"/>
      <c r="B3" s="52" t="s">
        <v>1</v>
      </c>
      <c r="C3" s="107" t="s">
        <v>132</v>
      </c>
      <c r="D3" s="103"/>
      <c r="E3" s="112" t="s">
        <v>3</v>
      </c>
      <c r="F3" s="103"/>
      <c r="G3" s="53"/>
      <c r="H3" s="54" t="s">
        <v>4</v>
      </c>
      <c r="I3" s="7"/>
      <c r="J3" s="7"/>
      <c r="K3" s="7"/>
      <c r="L3" s="7"/>
      <c r="M3" s="7"/>
      <c r="N3" s="7"/>
      <c r="O3" s="7"/>
      <c r="P3" s="7"/>
      <c r="Q3" s="7"/>
      <c r="R3" s="7"/>
      <c r="S3" s="7"/>
      <c r="T3" s="7"/>
      <c r="U3" s="7"/>
      <c r="V3" s="7"/>
      <c r="W3" s="7"/>
      <c r="X3" s="7"/>
      <c r="Y3" s="7"/>
      <c r="Z3" s="7"/>
    </row>
    <row r="4" spans="1:26" ht="12" customHeight="1">
      <c r="A4" s="7"/>
      <c r="B4" s="52" t="s">
        <v>5</v>
      </c>
      <c r="C4" s="107" t="s">
        <v>6</v>
      </c>
      <c r="D4" s="103"/>
      <c r="E4" s="112" t="s">
        <v>133</v>
      </c>
      <c r="F4" s="103"/>
      <c r="G4" s="53"/>
      <c r="H4" s="55" t="s">
        <v>134</v>
      </c>
      <c r="I4" s="7"/>
      <c r="J4" s="7"/>
      <c r="K4" s="7"/>
      <c r="L4" s="7"/>
      <c r="M4" s="7"/>
      <c r="N4" s="7"/>
      <c r="O4" s="7"/>
      <c r="P4" s="7"/>
      <c r="Q4" s="7"/>
      <c r="R4" s="7"/>
      <c r="S4" s="7"/>
      <c r="T4" s="7"/>
      <c r="U4" s="7"/>
      <c r="V4" s="7"/>
      <c r="W4" s="7"/>
      <c r="X4" s="7"/>
      <c r="Y4" s="7"/>
      <c r="Z4" s="7"/>
    </row>
    <row r="5" spans="1:26" ht="12" customHeight="1">
      <c r="A5" s="7"/>
      <c r="B5" s="56" t="s">
        <v>8</v>
      </c>
      <c r="C5" s="107" t="s">
        <v>135</v>
      </c>
      <c r="D5" s="103"/>
      <c r="E5" s="112" t="s">
        <v>7</v>
      </c>
      <c r="F5" s="103"/>
      <c r="G5" s="53"/>
      <c r="H5" s="55" t="s">
        <v>136</v>
      </c>
      <c r="I5" s="7"/>
      <c r="J5" s="7"/>
      <c r="K5" s="7"/>
      <c r="L5" s="7"/>
      <c r="M5" s="7"/>
      <c r="N5" s="7"/>
      <c r="O5" s="7"/>
      <c r="P5" s="7"/>
      <c r="Q5" s="7"/>
      <c r="R5" s="7"/>
      <c r="S5" s="7"/>
      <c r="T5" s="7"/>
      <c r="U5" s="7"/>
      <c r="V5" s="7"/>
      <c r="W5" s="7"/>
      <c r="X5" s="7"/>
      <c r="Y5" s="7"/>
      <c r="Z5" s="7"/>
    </row>
    <row r="6" spans="1:26" ht="21.75" customHeight="1">
      <c r="A6" s="50"/>
      <c r="B6" s="56" t="s">
        <v>137</v>
      </c>
      <c r="C6" s="113"/>
      <c r="D6" s="102"/>
      <c r="E6" s="102"/>
      <c r="F6" s="102"/>
      <c r="G6" s="102"/>
      <c r="H6" s="103"/>
      <c r="I6" s="7"/>
      <c r="J6" s="7"/>
      <c r="K6" s="7"/>
      <c r="L6" s="7"/>
      <c r="M6" s="7"/>
      <c r="N6" s="7"/>
      <c r="O6" s="7"/>
      <c r="P6" s="7"/>
      <c r="Q6" s="7"/>
      <c r="R6" s="7"/>
      <c r="S6" s="7"/>
      <c r="T6" s="7"/>
      <c r="U6" s="7"/>
      <c r="V6" s="7"/>
      <c r="W6" s="7"/>
      <c r="X6" s="7"/>
      <c r="Y6" s="7"/>
      <c r="Z6" s="7"/>
    </row>
    <row r="7" spans="1:26" ht="14.25" customHeight="1">
      <c r="A7" s="50"/>
      <c r="B7" s="57"/>
      <c r="C7" s="58"/>
      <c r="D7" s="7"/>
      <c r="E7" s="7"/>
      <c r="F7" s="7"/>
      <c r="G7" s="7"/>
      <c r="H7" s="51"/>
      <c r="I7" s="7"/>
      <c r="J7" s="7"/>
      <c r="K7" s="7"/>
      <c r="L7" s="7"/>
      <c r="M7" s="7"/>
      <c r="N7" s="7"/>
      <c r="O7" s="7"/>
      <c r="P7" s="7"/>
      <c r="Q7" s="7"/>
      <c r="R7" s="7"/>
      <c r="S7" s="7"/>
      <c r="T7" s="7"/>
      <c r="U7" s="7"/>
      <c r="V7" s="7"/>
      <c r="W7" s="7"/>
      <c r="X7" s="7"/>
      <c r="Y7" s="7"/>
      <c r="Z7" s="7"/>
    </row>
    <row r="8" spans="1:26" ht="12.75" customHeight="1">
      <c r="A8" s="7"/>
      <c r="B8" s="57"/>
      <c r="C8" s="58"/>
      <c r="D8" s="7"/>
      <c r="E8" s="7"/>
      <c r="F8" s="7"/>
      <c r="G8" s="7"/>
      <c r="H8" s="51"/>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59"/>
      <c r="B10" s="60" t="s">
        <v>23</v>
      </c>
      <c r="C10" s="61" t="s">
        <v>138</v>
      </c>
      <c r="D10" s="62" t="s">
        <v>139</v>
      </c>
      <c r="E10" s="61" t="s">
        <v>140</v>
      </c>
      <c r="F10" s="61" t="s">
        <v>141</v>
      </c>
      <c r="G10" s="63" t="s">
        <v>142</v>
      </c>
      <c r="H10" s="64" t="s">
        <v>143</v>
      </c>
      <c r="I10" s="7"/>
      <c r="J10" s="7"/>
      <c r="K10" s="7"/>
      <c r="L10" s="7"/>
      <c r="M10" s="7"/>
      <c r="N10" s="7"/>
      <c r="O10" s="7"/>
      <c r="P10" s="7"/>
      <c r="Q10" s="7"/>
      <c r="R10" s="7"/>
      <c r="S10" s="7"/>
      <c r="T10" s="7"/>
      <c r="U10" s="7"/>
      <c r="V10" s="7"/>
      <c r="W10" s="7"/>
      <c r="X10" s="7"/>
      <c r="Y10" s="7"/>
      <c r="Z10" s="7"/>
    </row>
    <row r="11" spans="1:26" ht="12.75" customHeight="1">
      <c r="A11" s="7"/>
      <c r="B11" s="65">
        <v>1</v>
      </c>
      <c r="C11" s="66" t="s">
        <v>144</v>
      </c>
      <c r="D11" s="65">
        <v>6</v>
      </c>
      <c r="E11" s="65">
        <f>Admin!C6</f>
        <v>0</v>
      </c>
      <c r="F11" s="65">
        <v>0</v>
      </c>
      <c r="G11" s="65">
        <f>Admin!E6</f>
        <v>0</v>
      </c>
      <c r="H11" s="65">
        <v>6</v>
      </c>
      <c r="I11" s="7"/>
      <c r="J11" s="7"/>
      <c r="K11" s="7"/>
      <c r="L11" s="7"/>
      <c r="M11" s="7"/>
      <c r="N11" s="7"/>
      <c r="O11" s="7"/>
      <c r="P11" s="7"/>
      <c r="Q11" s="7"/>
      <c r="R11" s="7"/>
      <c r="S11" s="7"/>
      <c r="T11" s="7"/>
      <c r="U11" s="7"/>
      <c r="V11" s="7"/>
      <c r="W11" s="7"/>
      <c r="X11" s="7"/>
      <c r="Y11" s="7"/>
      <c r="Z11" s="7"/>
    </row>
    <row r="12" spans="1:26" ht="12.75" customHeight="1">
      <c r="A12" s="7"/>
      <c r="B12" s="65">
        <v>2</v>
      </c>
      <c r="C12" s="66" t="s">
        <v>145</v>
      </c>
      <c r="D12" s="65">
        <v>8</v>
      </c>
      <c r="E12" s="65">
        <f>Admin!C7</f>
        <v>0</v>
      </c>
      <c r="F12" s="65">
        <v>0</v>
      </c>
      <c r="G12" s="65">
        <f>Admin!E7</f>
        <v>0</v>
      </c>
      <c r="H12" s="65">
        <v>8</v>
      </c>
      <c r="I12" s="7"/>
      <c r="J12" s="7"/>
      <c r="K12" s="7"/>
      <c r="L12" s="7"/>
      <c r="M12" s="7"/>
      <c r="N12" s="7"/>
      <c r="O12" s="7"/>
      <c r="P12" s="7"/>
      <c r="Q12" s="7"/>
      <c r="R12" s="7"/>
      <c r="S12" s="7"/>
      <c r="T12" s="7"/>
      <c r="U12" s="7"/>
      <c r="V12" s="7"/>
      <c r="W12" s="7"/>
      <c r="X12" s="7"/>
      <c r="Y12" s="7"/>
      <c r="Z12" s="7"/>
    </row>
    <row r="13" spans="1:26" ht="12.75" customHeight="1">
      <c r="A13" s="7"/>
      <c r="B13" s="65">
        <v>3</v>
      </c>
      <c r="C13" s="66" t="s">
        <v>146</v>
      </c>
      <c r="D13" s="65">
        <v>4</v>
      </c>
      <c r="E13" s="65">
        <f>Admin!C8</f>
        <v>0</v>
      </c>
      <c r="F13" s="65">
        <v>0</v>
      </c>
      <c r="G13" s="65">
        <f>Admin!E8</f>
        <v>0</v>
      </c>
      <c r="H13" s="65">
        <v>4</v>
      </c>
      <c r="I13" s="7"/>
      <c r="J13" s="7"/>
      <c r="K13" s="7"/>
      <c r="L13" s="7"/>
      <c r="M13" s="7"/>
      <c r="N13" s="7"/>
      <c r="O13" s="7"/>
      <c r="P13" s="7"/>
      <c r="Q13" s="7"/>
      <c r="R13" s="7"/>
      <c r="S13" s="7"/>
      <c r="T13" s="7"/>
      <c r="U13" s="7"/>
      <c r="V13" s="7"/>
      <c r="W13" s="7"/>
      <c r="X13" s="7"/>
      <c r="Y13" s="7"/>
      <c r="Z13" s="7"/>
    </row>
    <row r="14" spans="1:26" ht="12.75" customHeight="1">
      <c r="A14" s="7"/>
      <c r="B14" s="67">
        <v>4</v>
      </c>
      <c r="C14" s="68" t="s">
        <v>147</v>
      </c>
      <c r="D14" s="67">
        <v>10</v>
      </c>
      <c r="E14" s="65">
        <f>Admin!C9</f>
        <v>0</v>
      </c>
      <c r="F14" s="65">
        <v>0</v>
      </c>
      <c r="G14" s="65">
        <f>Admin!E9</f>
        <v>0</v>
      </c>
      <c r="H14" s="67">
        <v>10</v>
      </c>
      <c r="I14" s="7"/>
      <c r="J14" s="7"/>
      <c r="K14" s="7"/>
      <c r="L14" s="7"/>
      <c r="M14" s="7"/>
      <c r="N14" s="7"/>
      <c r="O14" s="7"/>
      <c r="P14" s="7"/>
      <c r="Q14" s="7"/>
      <c r="R14" s="7"/>
      <c r="S14" s="7"/>
      <c r="T14" s="7"/>
      <c r="U14" s="7"/>
      <c r="V14" s="7"/>
      <c r="W14" s="7"/>
      <c r="X14" s="7"/>
      <c r="Y14" s="7"/>
      <c r="Z14" s="7"/>
    </row>
    <row r="15" spans="1:26" ht="12.75" customHeight="1">
      <c r="A15" s="7"/>
      <c r="B15" s="67">
        <v>5</v>
      </c>
      <c r="C15" s="68" t="s">
        <v>148</v>
      </c>
      <c r="D15" s="67">
        <v>5</v>
      </c>
      <c r="E15" s="65">
        <v>0</v>
      </c>
      <c r="F15" s="65">
        <v>0</v>
      </c>
      <c r="G15" s="65">
        <v>0</v>
      </c>
      <c r="H15" s="67">
        <v>5</v>
      </c>
      <c r="I15" s="7"/>
      <c r="J15" s="7"/>
      <c r="K15" s="7"/>
      <c r="L15" s="7"/>
      <c r="M15" s="7"/>
      <c r="N15" s="7"/>
      <c r="O15" s="7"/>
      <c r="P15" s="7"/>
      <c r="Q15" s="7"/>
      <c r="R15" s="7"/>
      <c r="S15" s="7"/>
      <c r="T15" s="7"/>
      <c r="U15" s="7"/>
      <c r="V15" s="7"/>
      <c r="W15" s="7"/>
      <c r="X15" s="7"/>
      <c r="Y15" s="7"/>
      <c r="Z15" s="7"/>
    </row>
    <row r="16" spans="1:26" ht="12.75" customHeight="1">
      <c r="A16" s="7"/>
      <c r="B16" s="67">
        <v>6</v>
      </c>
      <c r="C16" s="68" t="s">
        <v>149</v>
      </c>
      <c r="D16" s="67">
        <v>6</v>
      </c>
      <c r="E16" s="65">
        <f>Admin!C11</f>
        <v>0</v>
      </c>
      <c r="F16" s="65">
        <v>0</v>
      </c>
      <c r="G16" s="65">
        <f>Admin!E11</f>
        <v>0</v>
      </c>
      <c r="H16" s="67">
        <v>6</v>
      </c>
      <c r="I16" s="7"/>
      <c r="J16" s="7"/>
      <c r="K16" s="7"/>
      <c r="L16" s="7"/>
      <c r="M16" s="7"/>
      <c r="N16" s="7"/>
      <c r="O16" s="7"/>
      <c r="P16" s="7"/>
      <c r="Q16" s="7"/>
      <c r="R16" s="7"/>
      <c r="S16" s="7"/>
      <c r="T16" s="7"/>
      <c r="U16" s="7"/>
      <c r="V16" s="7"/>
      <c r="W16" s="7"/>
      <c r="X16" s="7"/>
      <c r="Y16" s="7"/>
      <c r="Z16" s="7"/>
    </row>
    <row r="17" spans="1:26" ht="12.75" customHeight="1">
      <c r="A17" s="7"/>
      <c r="B17" s="67">
        <v>7</v>
      </c>
      <c r="C17" s="68" t="s">
        <v>150</v>
      </c>
      <c r="D17" s="67">
        <v>5</v>
      </c>
      <c r="E17" s="65">
        <v>0</v>
      </c>
      <c r="F17" s="65">
        <v>0</v>
      </c>
      <c r="G17" s="65">
        <v>0</v>
      </c>
      <c r="H17" s="67">
        <v>5</v>
      </c>
      <c r="I17" s="7"/>
      <c r="J17" s="7"/>
      <c r="K17" s="7"/>
      <c r="L17" s="7"/>
      <c r="M17" s="7"/>
      <c r="N17" s="7"/>
      <c r="O17" s="7"/>
      <c r="P17" s="7"/>
      <c r="Q17" s="7"/>
      <c r="R17" s="7"/>
      <c r="S17" s="7"/>
      <c r="T17" s="7"/>
      <c r="U17" s="7"/>
      <c r="V17" s="7"/>
      <c r="W17" s="7"/>
      <c r="X17" s="7"/>
      <c r="Y17" s="7"/>
      <c r="Z17" s="7"/>
    </row>
    <row r="18" spans="1:26" ht="12.75" customHeight="1">
      <c r="A18" s="7"/>
      <c r="B18" s="67">
        <v>8</v>
      </c>
      <c r="C18" s="68" t="s">
        <v>151</v>
      </c>
      <c r="D18" s="67">
        <v>4</v>
      </c>
      <c r="E18" s="65">
        <v>0</v>
      </c>
      <c r="F18" s="65">
        <v>0</v>
      </c>
      <c r="G18" s="65">
        <v>0</v>
      </c>
      <c r="H18" s="67">
        <v>4</v>
      </c>
      <c r="I18" s="7"/>
      <c r="J18" s="7"/>
      <c r="K18" s="7"/>
      <c r="L18" s="7"/>
      <c r="M18" s="7"/>
      <c r="N18" s="7"/>
      <c r="O18" s="7"/>
      <c r="P18" s="7"/>
      <c r="Q18" s="7"/>
      <c r="R18" s="7"/>
      <c r="S18" s="7"/>
      <c r="T18" s="7"/>
      <c r="U18" s="7"/>
      <c r="V18" s="7"/>
      <c r="W18" s="7"/>
      <c r="X18" s="7"/>
      <c r="Y18" s="7"/>
      <c r="Z18" s="7"/>
    </row>
    <row r="19" spans="1:26" ht="12.75" customHeight="1">
      <c r="A19" s="7"/>
      <c r="B19" s="67">
        <v>9</v>
      </c>
      <c r="C19" s="68" t="s">
        <v>152</v>
      </c>
      <c r="D19" s="67">
        <v>6</v>
      </c>
      <c r="E19" s="65">
        <v>0</v>
      </c>
      <c r="F19" s="65">
        <v>0</v>
      </c>
      <c r="G19" s="65">
        <v>0</v>
      </c>
      <c r="H19" s="67">
        <v>6</v>
      </c>
      <c r="I19" s="7"/>
      <c r="J19" s="7"/>
      <c r="K19" s="7"/>
      <c r="L19" s="7"/>
      <c r="M19" s="7"/>
      <c r="N19" s="7"/>
      <c r="O19" s="7"/>
      <c r="P19" s="7"/>
      <c r="Q19" s="7"/>
      <c r="R19" s="7"/>
      <c r="S19" s="7"/>
      <c r="T19" s="7"/>
      <c r="U19" s="7"/>
      <c r="V19" s="7"/>
      <c r="W19" s="7"/>
      <c r="X19" s="7"/>
      <c r="Y19" s="7"/>
      <c r="Z19" s="7"/>
    </row>
    <row r="20" spans="1:26" ht="12.75" customHeight="1">
      <c r="A20" s="7"/>
      <c r="B20" s="67">
        <v>10</v>
      </c>
      <c r="C20" s="68" t="s">
        <v>153</v>
      </c>
      <c r="D20" s="67">
        <v>3</v>
      </c>
      <c r="E20" s="65">
        <v>0</v>
      </c>
      <c r="F20" s="65">
        <v>0</v>
      </c>
      <c r="G20" s="65">
        <v>0</v>
      </c>
      <c r="H20" s="67">
        <v>3</v>
      </c>
      <c r="I20" s="7"/>
      <c r="J20" s="7"/>
      <c r="K20" s="7"/>
      <c r="L20" s="7"/>
      <c r="M20" s="7"/>
      <c r="N20" s="7"/>
      <c r="O20" s="7"/>
      <c r="P20" s="7"/>
      <c r="Q20" s="7"/>
      <c r="R20" s="7"/>
      <c r="S20" s="7"/>
      <c r="T20" s="7"/>
      <c r="U20" s="7"/>
      <c r="V20" s="7"/>
      <c r="W20" s="7"/>
      <c r="X20" s="7"/>
      <c r="Y20" s="7"/>
      <c r="Z20" s="7"/>
    </row>
    <row r="21" spans="1:26" ht="12.75" customHeight="1">
      <c r="A21" s="7"/>
      <c r="B21" s="67">
        <v>11</v>
      </c>
      <c r="C21" s="68" t="s">
        <v>154</v>
      </c>
      <c r="D21" s="67">
        <v>4</v>
      </c>
      <c r="E21" s="65">
        <v>0</v>
      </c>
      <c r="F21" s="65">
        <v>0</v>
      </c>
      <c r="G21" s="65">
        <v>0</v>
      </c>
      <c r="H21" s="67">
        <v>4</v>
      </c>
      <c r="I21" s="7"/>
      <c r="J21" s="7"/>
      <c r="K21" s="7"/>
      <c r="L21" s="7"/>
      <c r="M21" s="7"/>
      <c r="N21" s="7"/>
      <c r="O21" s="7"/>
      <c r="P21" s="7"/>
      <c r="Q21" s="7"/>
      <c r="R21" s="7"/>
      <c r="S21" s="7"/>
      <c r="T21" s="7"/>
      <c r="U21" s="7"/>
      <c r="V21" s="7"/>
      <c r="W21" s="7"/>
      <c r="X21" s="7"/>
      <c r="Y21" s="7"/>
      <c r="Z21" s="7"/>
    </row>
    <row r="22" spans="1:26" ht="12.75" customHeight="1">
      <c r="A22" s="7"/>
      <c r="B22" s="69"/>
      <c r="C22" s="70" t="s">
        <v>155</v>
      </c>
      <c r="D22" s="71">
        <f>SUM(D11:D21)</f>
        <v>61</v>
      </c>
      <c r="E22" s="71">
        <f>SUM(E11:E21)</f>
        <v>0</v>
      </c>
      <c r="F22" s="71">
        <f>SUM(F11:F21)</f>
        <v>0</v>
      </c>
      <c r="G22" s="71">
        <f>SUM(G11:G21)</f>
        <v>0</v>
      </c>
      <c r="H22" s="72">
        <f>SUM(H11:H21)</f>
        <v>61</v>
      </c>
      <c r="I22" s="7"/>
      <c r="J22" s="7"/>
      <c r="K22" s="7"/>
      <c r="L22" s="7"/>
      <c r="M22" s="7"/>
      <c r="N22" s="7"/>
      <c r="O22" s="7"/>
      <c r="P22" s="7"/>
      <c r="Q22" s="7"/>
      <c r="R22" s="7"/>
      <c r="S22" s="7"/>
      <c r="T22" s="7"/>
      <c r="U22" s="7"/>
      <c r="V22" s="7"/>
      <c r="W22" s="7"/>
      <c r="X22" s="7"/>
      <c r="Y22" s="7"/>
      <c r="Z22" s="7"/>
    </row>
    <row r="23" spans="1:26" ht="12.75" customHeight="1">
      <c r="A23" s="7"/>
      <c r="B23" s="7"/>
      <c r="C23" s="7"/>
      <c r="D23" s="5"/>
      <c r="E23" s="7"/>
      <c r="F23" s="73"/>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5" t="s">
        <v>156</v>
      </c>
      <c r="E24" s="7"/>
      <c r="F24" s="73">
        <f>(D22+E22)*100/(H22-G22)</f>
        <v>100</v>
      </c>
      <c r="G24" s="7" t="s">
        <v>157</v>
      </c>
      <c r="H24" s="7"/>
      <c r="I24" s="7"/>
      <c r="J24" s="7"/>
      <c r="K24" s="7"/>
      <c r="L24" s="7"/>
      <c r="M24" s="7"/>
      <c r="N24" s="7"/>
      <c r="O24" s="7"/>
      <c r="P24" s="7"/>
      <c r="Q24" s="7"/>
      <c r="R24" s="7"/>
      <c r="S24" s="7"/>
      <c r="T24" s="7"/>
      <c r="U24" s="7"/>
      <c r="V24" s="7"/>
      <c r="W24" s="7"/>
      <c r="X24" s="7"/>
      <c r="Y24" s="7"/>
      <c r="Z24" s="7"/>
    </row>
    <row r="25" spans="1:26" ht="12.75" customHeight="1">
      <c r="A25" s="7"/>
      <c r="B25" s="7"/>
      <c r="C25" s="7"/>
      <c r="D25" s="5" t="s">
        <v>158</v>
      </c>
      <c r="E25" s="7"/>
      <c r="F25" s="73">
        <f>D22*100/(H22-G22)</f>
        <v>100</v>
      </c>
      <c r="G25" s="7" t="s">
        <v>157</v>
      </c>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5"/>
      <c r="D33" s="7"/>
      <c r="E33" s="73"/>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5"/>
      <c r="D34" s="7"/>
      <c r="E34" s="73"/>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5"/>
      <c r="D35" s="7"/>
      <c r="E35" s="73"/>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5"/>
      <c r="D36" s="7"/>
      <c r="E36" s="73"/>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useFirstPageNumber="1" horizontalDpi="4294967295" verticalDpi="4294967295"/>
  <headerFoot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0"/>
  <sheetViews>
    <sheetView zoomScaleNormal="100" workbookViewId="0">
      <pane ySplit="10" topLeftCell="A26" activePane="bottomLeft" state="frozen"/>
      <selection pane="bottomLeft" activeCell="B12" sqref="B12"/>
    </sheetView>
  </sheetViews>
  <sheetFormatPr defaultColWidth="12.6640625" defaultRowHeight="14.4" outlineLevelRow="1" outlineLevelCol="1"/>
  <cols>
    <col min="1" max="1" width="17" customWidth="1"/>
    <col min="2" max="2" width="36.6640625" customWidth="1"/>
    <col min="3" max="3" width="34.109375" customWidth="1"/>
    <col min="4" max="4" width="36" customWidth="1"/>
    <col min="5" max="5" width="28.33203125" customWidth="1"/>
    <col min="6" max="6" width="9.33203125" customWidth="1"/>
    <col min="7" max="7" width="10.6640625" customWidth="1" outlineLevel="1" collapsed="1"/>
    <col min="8" max="8" width="7" customWidth="1" outlineLevel="1" collapsed="1"/>
    <col min="9" max="9" width="9.33203125" customWidth="1"/>
    <col min="10" max="10" width="10.6640625" customWidth="1" outlineLevel="1" collapsed="1"/>
    <col min="11" max="11" width="7" customWidth="1" outlineLevel="1" collapsed="1"/>
    <col min="12" max="12" width="9.33203125" customWidth="1"/>
    <col min="13" max="13" width="10.6640625" customWidth="1" outlineLevel="1" collapsed="1"/>
    <col min="14" max="14" width="7"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74"/>
      <c r="R1" s="7"/>
      <c r="S1" s="7"/>
      <c r="T1" s="7"/>
      <c r="U1" s="7"/>
      <c r="V1" s="7"/>
      <c r="W1" s="7"/>
      <c r="X1" s="7"/>
      <c r="Y1" s="7"/>
      <c r="Z1" s="7"/>
    </row>
    <row r="2" spans="1:26" ht="15" customHeight="1">
      <c r="A2" s="75" t="s">
        <v>159</v>
      </c>
      <c r="B2" s="114" t="s">
        <v>160</v>
      </c>
      <c r="C2" s="115"/>
      <c r="D2" s="115"/>
      <c r="E2" s="116"/>
      <c r="F2" s="76"/>
      <c r="G2" s="77"/>
      <c r="H2" s="37"/>
      <c r="I2" s="76"/>
      <c r="J2" s="77"/>
      <c r="K2" s="37"/>
      <c r="L2" s="76"/>
      <c r="M2" s="77"/>
      <c r="N2" s="37"/>
      <c r="O2" s="37"/>
      <c r="P2" s="37"/>
      <c r="Q2" s="78"/>
      <c r="R2" s="79" t="s">
        <v>139</v>
      </c>
      <c r="S2" s="79"/>
      <c r="T2" s="79"/>
      <c r="U2" s="79"/>
      <c r="V2" s="79"/>
      <c r="W2" s="79"/>
      <c r="X2" s="79"/>
      <c r="Y2" s="79"/>
      <c r="Z2" s="79"/>
    </row>
    <row r="3" spans="1:26" ht="54.75" customHeight="1">
      <c r="A3" s="80" t="s">
        <v>161</v>
      </c>
      <c r="B3" s="117" t="s">
        <v>162</v>
      </c>
      <c r="C3" s="102"/>
      <c r="D3" s="102"/>
      <c r="E3" s="118"/>
      <c r="F3" s="76"/>
      <c r="G3" s="77"/>
      <c r="H3" s="37"/>
      <c r="I3" s="76"/>
      <c r="J3" s="77"/>
      <c r="K3" s="37"/>
      <c r="L3" s="76"/>
      <c r="M3" s="77"/>
      <c r="N3" s="37"/>
      <c r="O3" s="37"/>
      <c r="P3" s="37"/>
      <c r="Q3" s="78"/>
      <c r="R3" s="79" t="s">
        <v>140</v>
      </c>
      <c r="S3" s="79"/>
      <c r="T3" s="79"/>
      <c r="U3" s="79"/>
      <c r="V3" s="79"/>
      <c r="W3" s="79"/>
      <c r="X3" s="79"/>
      <c r="Y3" s="79"/>
      <c r="Z3" s="79"/>
    </row>
    <row r="4" spans="1:26" ht="18" customHeight="1">
      <c r="A4" s="80" t="s">
        <v>163</v>
      </c>
      <c r="B4" s="117">
        <v>18</v>
      </c>
      <c r="C4" s="102"/>
      <c r="D4" s="102"/>
      <c r="E4" s="118"/>
      <c r="F4" s="76"/>
      <c r="G4" s="77"/>
      <c r="H4" s="37"/>
      <c r="I4" s="76"/>
      <c r="J4" s="77"/>
      <c r="K4" s="37"/>
      <c r="L4" s="76"/>
      <c r="M4" s="77"/>
      <c r="N4" s="37"/>
      <c r="O4" s="37"/>
      <c r="P4" s="37"/>
      <c r="Q4" s="78"/>
      <c r="R4" s="79" t="s">
        <v>141</v>
      </c>
      <c r="S4" s="79"/>
      <c r="T4" s="79"/>
      <c r="U4" s="79"/>
      <c r="V4" s="79"/>
      <c r="W4" s="79"/>
      <c r="X4" s="79"/>
      <c r="Y4" s="79"/>
      <c r="Z4" s="79"/>
    </row>
    <row r="5" spans="1:26" ht="19.5" customHeight="1">
      <c r="A5" s="81" t="s">
        <v>164</v>
      </c>
      <c r="B5" s="82" t="s">
        <v>139</v>
      </c>
      <c r="C5" s="82" t="s">
        <v>140</v>
      </c>
      <c r="D5" s="82" t="s">
        <v>141</v>
      </c>
      <c r="E5" s="83" t="s">
        <v>142</v>
      </c>
      <c r="F5" s="84"/>
      <c r="G5" s="84"/>
      <c r="H5" s="85"/>
      <c r="I5" s="84"/>
      <c r="J5" s="84"/>
      <c r="K5" s="85"/>
      <c r="L5" s="84"/>
      <c r="M5" s="84"/>
      <c r="N5" s="85"/>
      <c r="O5" s="85"/>
      <c r="P5" s="85"/>
      <c r="Q5" s="86"/>
      <c r="R5" s="79" t="s">
        <v>142</v>
      </c>
      <c r="S5" s="79"/>
      <c r="T5" s="79"/>
      <c r="U5" s="79"/>
      <c r="V5" s="79"/>
      <c r="W5" s="79"/>
      <c r="X5" s="79"/>
      <c r="Y5" s="79"/>
      <c r="Z5" s="79"/>
    </row>
    <row r="6" spans="1:26" ht="15" customHeight="1">
      <c r="A6" s="81" t="s">
        <v>165</v>
      </c>
      <c r="B6" s="87">
        <f t="shared" ref="B6:E8" si="0">COUNTIF($F$11:$F$42,B$5)</f>
        <v>18</v>
      </c>
      <c r="C6" s="7">
        <f t="shared" si="0"/>
        <v>0</v>
      </c>
      <c r="D6" s="7">
        <f t="shared" si="0"/>
        <v>0</v>
      </c>
      <c r="E6" s="88">
        <f t="shared" si="0"/>
        <v>0</v>
      </c>
      <c r="F6" s="89"/>
      <c r="G6" s="89"/>
      <c r="H6" s="85"/>
      <c r="I6" s="89"/>
      <c r="J6" s="89"/>
      <c r="K6" s="85"/>
      <c r="L6" s="89"/>
      <c r="M6" s="89"/>
      <c r="N6" s="85"/>
      <c r="O6" s="85"/>
      <c r="P6" s="85"/>
      <c r="Q6" s="86"/>
      <c r="R6" s="79"/>
      <c r="S6" s="79"/>
      <c r="T6" s="79"/>
      <c r="U6" s="79"/>
      <c r="V6" s="79"/>
      <c r="W6" s="79"/>
      <c r="X6" s="79"/>
      <c r="Y6" s="79"/>
      <c r="Z6" s="79"/>
    </row>
    <row r="7" spans="1:26" ht="15" customHeight="1">
      <c r="A7" s="81" t="s">
        <v>166</v>
      </c>
      <c r="B7" s="87">
        <f t="shared" si="0"/>
        <v>18</v>
      </c>
      <c r="C7" s="7">
        <f t="shared" si="0"/>
        <v>0</v>
      </c>
      <c r="D7" s="7">
        <f t="shared" si="0"/>
        <v>0</v>
      </c>
      <c r="E7" s="88">
        <f t="shared" si="0"/>
        <v>0</v>
      </c>
      <c r="F7" s="89"/>
      <c r="G7" s="89"/>
      <c r="H7" s="85"/>
      <c r="I7" s="89"/>
      <c r="J7" s="89"/>
      <c r="K7" s="85"/>
      <c r="L7" s="89"/>
      <c r="M7" s="89"/>
      <c r="N7" s="85"/>
      <c r="O7" s="85"/>
      <c r="P7" s="85"/>
      <c r="Q7" s="86"/>
      <c r="R7" s="79"/>
      <c r="S7" s="79"/>
      <c r="T7" s="79"/>
      <c r="U7" s="79"/>
      <c r="V7" s="79"/>
      <c r="W7" s="79"/>
      <c r="X7" s="79"/>
      <c r="Y7" s="79"/>
      <c r="Z7" s="79"/>
    </row>
    <row r="8" spans="1:26" ht="15" customHeight="1">
      <c r="A8" s="90" t="s">
        <v>167</v>
      </c>
      <c r="B8" s="87">
        <f t="shared" si="0"/>
        <v>18</v>
      </c>
      <c r="C8" s="87">
        <f t="shared" si="0"/>
        <v>0</v>
      </c>
      <c r="D8" s="87">
        <f t="shared" si="0"/>
        <v>0</v>
      </c>
      <c r="E8" s="91">
        <f t="shared" si="0"/>
        <v>0</v>
      </c>
      <c r="F8" s="89"/>
      <c r="G8" s="89"/>
      <c r="H8" s="85"/>
      <c r="I8" s="89"/>
      <c r="J8" s="89"/>
      <c r="K8" s="85"/>
      <c r="L8" s="89"/>
      <c r="M8" s="89"/>
      <c r="N8" s="85"/>
      <c r="O8" s="85"/>
      <c r="P8" s="85"/>
      <c r="Q8" s="86"/>
      <c r="R8" s="79"/>
      <c r="S8" s="79"/>
      <c r="T8" s="79"/>
      <c r="U8" s="79"/>
      <c r="V8" s="79"/>
      <c r="W8" s="79"/>
      <c r="X8" s="79"/>
      <c r="Y8" s="79"/>
      <c r="Z8" s="79"/>
    </row>
    <row r="9" spans="1:26" ht="15" customHeight="1">
      <c r="A9" s="85"/>
      <c r="B9" s="85"/>
      <c r="C9" s="85"/>
      <c r="D9" s="85"/>
      <c r="E9" s="85"/>
      <c r="F9" s="92"/>
      <c r="G9" s="85"/>
      <c r="H9" s="85"/>
      <c r="I9" s="92"/>
      <c r="J9" s="85"/>
      <c r="K9" s="85"/>
      <c r="L9" s="92"/>
      <c r="M9" s="85"/>
      <c r="N9" s="85"/>
      <c r="O9" s="85"/>
      <c r="P9" s="85"/>
      <c r="Q9" s="86"/>
      <c r="R9" s="79"/>
      <c r="S9" s="79"/>
      <c r="T9" s="79"/>
      <c r="U9" s="79"/>
      <c r="V9" s="79"/>
      <c r="W9" s="79"/>
      <c r="X9" s="79"/>
      <c r="Y9" s="79"/>
      <c r="Z9" s="79"/>
    </row>
    <row r="10" spans="1:26" ht="25.5" customHeight="1">
      <c r="A10" s="93" t="s">
        <v>168</v>
      </c>
      <c r="B10" s="93" t="s">
        <v>169</v>
      </c>
      <c r="C10" s="93" t="s">
        <v>170</v>
      </c>
      <c r="D10" s="93" t="s">
        <v>171</v>
      </c>
      <c r="E10" s="93" t="s">
        <v>172</v>
      </c>
      <c r="F10" s="93" t="s">
        <v>165</v>
      </c>
      <c r="G10" s="93" t="s">
        <v>173</v>
      </c>
      <c r="H10" s="93" t="s">
        <v>174</v>
      </c>
      <c r="I10" s="93" t="s">
        <v>166</v>
      </c>
      <c r="J10" s="93" t="s">
        <v>173</v>
      </c>
      <c r="K10" s="93" t="s">
        <v>174</v>
      </c>
      <c r="L10" s="93" t="s">
        <v>167</v>
      </c>
      <c r="M10" s="93" t="s">
        <v>173</v>
      </c>
      <c r="N10" s="93" t="s">
        <v>174</v>
      </c>
      <c r="O10" s="93" t="s">
        <v>175</v>
      </c>
      <c r="P10" s="79"/>
      <c r="Q10" s="94"/>
      <c r="R10" s="79"/>
      <c r="S10" s="79"/>
      <c r="T10" s="79"/>
      <c r="U10" s="79"/>
      <c r="V10" s="79"/>
      <c r="W10" s="79"/>
      <c r="X10" s="79"/>
      <c r="Y10" s="79"/>
      <c r="Z10" s="79"/>
    </row>
    <row r="11" spans="1:26" ht="15" customHeight="1">
      <c r="A11" s="95" t="s">
        <v>144</v>
      </c>
      <c r="B11" s="95"/>
      <c r="C11" s="96"/>
      <c r="D11" s="96"/>
      <c r="E11" s="96"/>
      <c r="F11" s="96"/>
      <c r="G11" s="96"/>
      <c r="H11" s="96"/>
      <c r="I11" s="96"/>
      <c r="J11" s="96"/>
      <c r="K11" s="96"/>
      <c r="L11" s="96"/>
      <c r="M11" s="96"/>
      <c r="N11" s="96"/>
      <c r="P11" s="79"/>
      <c r="Q11" s="97"/>
      <c r="R11" s="79"/>
      <c r="S11" s="79"/>
      <c r="T11" s="79"/>
      <c r="U11" s="79"/>
      <c r="V11" s="79"/>
      <c r="W11" s="79"/>
      <c r="X11" s="79"/>
      <c r="Y11" s="79"/>
      <c r="Z11" s="79"/>
    </row>
    <row r="12" spans="1:26" ht="63" customHeight="1" outlineLevel="1" collapsed="1">
      <c r="A12" s="7" t="s">
        <v>176</v>
      </c>
      <c r="B12" s="7" t="s">
        <v>177</v>
      </c>
      <c r="C12" s="7" t="s">
        <v>178</v>
      </c>
      <c r="D12" s="74" t="s">
        <v>179</v>
      </c>
      <c r="E12" s="74" t="s">
        <v>180</v>
      </c>
      <c r="F12" s="7" t="s">
        <v>139</v>
      </c>
      <c r="G12" s="7" t="s">
        <v>181</v>
      </c>
      <c r="H12" s="7" t="s">
        <v>182</v>
      </c>
      <c r="I12" s="7" t="s">
        <v>139</v>
      </c>
      <c r="J12" s="7" t="s">
        <v>183</v>
      </c>
      <c r="K12" s="7" t="s">
        <v>184</v>
      </c>
      <c r="L12" s="7" t="s">
        <v>139</v>
      </c>
      <c r="M12" s="7"/>
      <c r="N12" s="7"/>
      <c r="O12" s="7"/>
      <c r="P12" s="98"/>
      <c r="Q12" s="99"/>
      <c r="R12" s="98"/>
      <c r="S12" s="98"/>
      <c r="T12" s="98"/>
      <c r="U12" s="98"/>
      <c r="V12" s="98"/>
      <c r="W12" s="98"/>
      <c r="X12" s="98"/>
      <c r="Y12" s="98"/>
      <c r="Z12" s="98"/>
    </row>
    <row r="13" spans="1:26" ht="14.25" hidden="1" customHeight="1">
      <c r="A13" s="95" t="s">
        <v>185</v>
      </c>
      <c r="B13" s="95" t="s">
        <v>186</v>
      </c>
      <c r="C13" s="96" t="s">
        <v>187</v>
      </c>
      <c r="D13" s="96" t="s">
        <v>188</v>
      </c>
      <c r="E13" s="96" t="s">
        <v>189</v>
      </c>
      <c r="F13" s="96" t="s">
        <v>139</v>
      </c>
      <c r="G13" s="96" t="s">
        <v>181</v>
      </c>
      <c r="H13" s="96" t="s">
        <v>182</v>
      </c>
      <c r="I13" s="96" t="s">
        <v>139</v>
      </c>
      <c r="J13" s="96" t="s">
        <v>183</v>
      </c>
      <c r="K13" s="96" t="s">
        <v>184</v>
      </c>
      <c r="L13" s="96" t="s">
        <v>139</v>
      </c>
      <c r="M13" s="96"/>
      <c r="N13" s="96"/>
      <c r="P13" s="79"/>
      <c r="Q13" s="97"/>
      <c r="R13" s="79"/>
      <c r="S13" s="79"/>
      <c r="T13" s="79"/>
      <c r="U13" s="79"/>
      <c r="V13" s="79"/>
      <c r="W13" s="79"/>
      <c r="X13" s="79"/>
      <c r="Y13" s="79"/>
      <c r="Z13" s="79"/>
    </row>
    <row r="14" spans="1:26" ht="66.75" customHeight="1" outlineLevel="1" collapsed="1">
      <c r="A14" s="7" t="s">
        <v>190</v>
      </c>
      <c r="B14" s="7" t="s">
        <v>191</v>
      </c>
      <c r="C14" s="7" t="s">
        <v>192</v>
      </c>
      <c r="D14" s="7" t="s">
        <v>193</v>
      </c>
      <c r="E14" s="7" t="s">
        <v>194</v>
      </c>
      <c r="F14" s="7" t="s">
        <v>139</v>
      </c>
      <c r="G14" s="7" t="s">
        <v>181</v>
      </c>
      <c r="H14" s="7" t="s">
        <v>182</v>
      </c>
      <c r="I14" s="7" t="s">
        <v>139</v>
      </c>
      <c r="J14" s="7" t="s">
        <v>183</v>
      </c>
      <c r="K14" s="7" t="s">
        <v>184</v>
      </c>
      <c r="L14" s="7" t="s">
        <v>139</v>
      </c>
      <c r="M14" s="7"/>
      <c r="N14" s="7"/>
      <c r="O14" s="7"/>
      <c r="P14" s="7"/>
      <c r="Q14" s="99"/>
      <c r="R14" s="7"/>
      <c r="S14" s="7"/>
      <c r="T14" s="7"/>
      <c r="U14" s="7"/>
      <c r="V14" s="7"/>
      <c r="W14" s="7"/>
      <c r="X14" s="7"/>
      <c r="Y14" s="7"/>
      <c r="Z14" s="7"/>
    </row>
    <row r="15" spans="1:26" ht="15.75" customHeight="1">
      <c r="A15" s="95" t="s">
        <v>195</v>
      </c>
      <c r="B15" s="95" t="s">
        <v>196</v>
      </c>
      <c r="C15" s="96" t="s">
        <v>197</v>
      </c>
      <c r="D15" s="96" t="s">
        <v>198</v>
      </c>
      <c r="E15" s="96" t="s">
        <v>199</v>
      </c>
      <c r="F15" s="96" t="s">
        <v>139</v>
      </c>
      <c r="G15" s="96" t="s">
        <v>181</v>
      </c>
      <c r="H15" s="96" t="s">
        <v>182</v>
      </c>
      <c r="I15" s="96" t="s">
        <v>139</v>
      </c>
      <c r="J15" s="96" t="s">
        <v>183</v>
      </c>
      <c r="K15" s="96" t="s">
        <v>184</v>
      </c>
      <c r="L15" s="96" t="s">
        <v>139</v>
      </c>
      <c r="M15" s="96"/>
      <c r="N15" s="96"/>
      <c r="P15" s="79"/>
      <c r="Q15" s="97"/>
      <c r="R15" s="79"/>
      <c r="S15" s="79"/>
      <c r="T15" s="79"/>
      <c r="U15" s="79"/>
      <c r="V15" s="79"/>
      <c r="W15" s="79"/>
      <c r="X15" s="79"/>
      <c r="Y15" s="79"/>
      <c r="Z15" s="79"/>
    </row>
    <row r="16" spans="1:26" ht="60" customHeight="1" outlineLevel="1" collapsed="1">
      <c r="A16" s="7" t="s">
        <v>200</v>
      </c>
      <c r="B16" s="7" t="s">
        <v>201</v>
      </c>
      <c r="C16" s="7" t="s">
        <v>202</v>
      </c>
      <c r="D16" s="7" t="s">
        <v>203</v>
      </c>
      <c r="E16" s="7" t="s">
        <v>204</v>
      </c>
      <c r="F16" s="7" t="s">
        <v>139</v>
      </c>
      <c r="G16" s="7" t="s">
        <v>181</v>
      </c>
      <c r="H16" s="7" t="s">
        <v>182</v>
      </c>
      <c r="I16" s="7" t="s">
        <v>139</v>
      </c>
      <c r="J16" s="7" t="s">
        <v>183</v>
      </c>
      <c r="K16" s="7" t="s">
        <v>184</v>
      </c>
      <c r="L16" s="7" t="s">
        <v>139</v>
      </c>
      <c r="M16" s="7"/>
      <c r="N16" s="7"/>
      <c r="O16" s="7"/>
      <c r="P16" s="7"/>
      <c r="Q16" s="99"/>
      <c r="R16" s="7"/>
      <c r="S16" s="7"/>
      <c r="T16" s="7"/>
      <c r="U16" s="7"/>
      <c r="V16" s="7"/>
      <c r="W16" s="7"/>
      <c r="X16" s="7"/>
      <c r="Y16" s="7"/>
      <c r="Z16" s="7"/>
    </row>
    <row r="17" spans="1:26" ht="12.75" customHeight="1">
      <c r="A17" s="7" t="s">
        <v>205</v>
      </c>
      <c r="B17" s="7" t="s">
        <v>206</v>
      </c>
      <c r="C17" s="7" t="s">
        <v>207</v>
      </c>
      <c r="D17" s="7" t="s">
        <v>208</v>
      </c>
      <c r="E17" s="7" t="s">
        <v>204</v>
      </c>
      <c r="F17" s="7" t="s">
        <v>139</v>
      </c>
      <c r="G17" s="7" t="s">
        <v>181</v>
      </c>
      <c r="H17" s="7" t="s">
        <v>182</v>
      </c>
      <c r="I17" s="7" t="s">
        <v>139</v>
      </c>
      <c r="J17" s="7" t="s">
        <v>183</v>
      </c>
      <c r="K17" s="7" t="s">
        <v>184</v>
      </c>
      <c r="L17" s="7" t="s">
        <v>139</v>
      </c>
      <c r="M17" s="7"/>
      <c r="N17" s="7"/>
      <c r="O17" s="7"/>
      <c r="P17" s="7"/>
      <c r="Q17" s="74"/>
      <c r="R17" s="7"/>
      <c r="S17" s="7"/>
      <c r="T17" s="7"/>
      <c r="U17" s="7"/>
      <c r="V17" s="7"/>
      <c r="W17" s="7"/>
      <c r="X17" s="7"/>
      <c r="Y17" s="7"/>
      <c r="Z17" s="7"/>
    </row>
    <row r="18" spans="1:26" ht="12.75" customHeight="1">
      <c r="A18" s="95" t="s">
        <v>145</v>
      </c>
      <c r="B18" s="95"/>
      <c r="C18" s="96"/>
      <c r="D18" s="96"/>
      <c r="E18" s="96"/>
      <c r="F18" s="96"/>
      <c r="G18" s="96"/>
      <c r="H18" s="96"/>
      <c r="I18" s="96"/>
      <c r="J18" s="96"/>
      <c r="K18" s="96"/>
      <c r="L18" s="96"/>
      <c r="M18" s="96"/>
      <c r="N18" s="96"/>
      <c r="P18" s="7"/>
      <c r="Q18" s="74"/>
      <c r="R18" s="7"/>
      <c r="S18" s="7"/>
      <c r="T18" s="7"/>
      <c r="U18" s="7"/>
      <c r="V18" s="7"/>
      <c r="W18" s="7"/>
      <c r="X18" s="7"/>
      <c r="Y18" s="7"/>
      <c r="Z18" s="7"/>
    </row>
    <row r="19" spans="1:26" ht="81" customHeight="1">
      <c r="A19" s="7" t="s">
        <v>209</v>
      </c>
      <c r="B19" s="7" t="s">
        <v>210</v>
      </c>
      <c r="C19" s="74" t="s">
        <v>211</v>
      </c>
      <c r="D19" s="7" t="s">
        <v>212</v>
      </c>
      <c r="E19" s="7" t="s">
        <v>213</v>
      </c>
      <c r="F19" s="7" t="s">
        <v>139</v>
      </c>
      <c r="G19" s="7" t="s">
        <v>181</v>
      </c>
      <c r="H19" s="7" t="s">
        <v>182</v>
      </c>
      <c r="I19" s="7" t="s">
        <v>139</v>
      </c>
      <c r="J19" s="7" t="s">
        <v>183</v>
      </c>
      <c r="K19" s="7" t="s">
        <v>184</v>
      </c>
      <c r="L19" s="7" t="s">
        <v>139</v>
      </c>
      <c r="M19" s="7"/>
      <c r="N19" s="7"/>
      <c r="O19" s="7"/>
      <c r="P19" s="7"/>
      <c r="Q19" s="74"/>
      <c r="R19" s="7"/>
      <c r="S19" s="7"/>
      <c r="T19" s="7"/>
      <c r="U19" s="7"/>
      <c r="V19" s="7"/>
      <c r="W19" s="7"/>
      <c r="X19" s="7"/>
      <c r="Y19" s="7"/>
      <c r="Z19" s="7"/>
    </row>
    <row r="20" spans="1:26" ht="65.25" customHeight="1">
      <c r="A20" s="7" t="s">
        <v>214</v>
      </c>
      <c r="B20" s="7" t="s">
        <v>215</v>
      </c>
      <c r="C20" s="7" t="s">
        <v>216</v>
      </c>
      <c r="D20" s="7" t="s">
        <v>217</v>
      </c>
      <c r="E20" s="7" t="s">
        <v>218</v>
      </c>
      <c r="F20" s="7" t="s">
        <v>139</v>
      </c>
      <c r="G20" s="100" t="s">
        <v>181</v>
      </c>
      <c r="H20" s="7" t="s">
        <v>182</v>
      </c>
      <c r="I20" s="7" t="s">
        <v>139</v>
      </c>
      <c r="J20" s="100" t="s">
        <v>183</v>
      </c>
      <c r="K20" s="7" t="s">
        <v>184</v>
      </c>
      <c r="L20" s="7" t="s">
        <v>139</v>
      </c>
      <c r="M20" s="7"/>
      <c r="N20" s="7"/>
      <c r="O20" s="7"/>
      <c r="P20" s="7"/>
      <c r="Q20" s="74"/>
      <c r="R20" s="7"/>
      <c r="S20" s="7"/>
      <c r="T20" s="7"/>
      <c r="U20" s="7"/>
      <c r="V20" s="7"/>
      <c r="W20" s="7"/>
      <c r="X20" s="7"/>
      <c r="Y20" s="7"/>
      <c r="Z20" s="7"/>
    </row>
    <row r="21" spans="1:26" ht="12.75" customHeight="1">
      <c r="A21" s="7" t="s">
        <v>219</v>
      </c>
      <c r="B21" s="7" t="s">
        <v>220</v>
      </c>
      <c r="C21" s="7" t="s">
        <v>221</v>
      </c>
      <c r="D21" s="7" t="s">
        <v>222</v>
      </c>
      <c r="E21" s="7" t="s">
        <v>223</v>
      </c>
      <c r="F21" s="7" t="s">
        <v>139</v>
      </c>
      <c r="G21" s="7" t="s">
        <v>181</v>
      </c>
      <c r="H21" s="7" t="s">
        <v>182</v>
      </c>
      <c r="I21" s="7" t="s">
        <v>139</v>
      </c>
      <c r="J21" s="7" t="s">
        <v>183</v>
      </c>
      <c r="K21" s="7" t="s">
        <v>184</v>
      </c>
      <c r="L21" s="7" t="s">
        <v>139</v>
      </c>
      <c r="M21" s="7"/>
      <c r="N21" s="7"/>
      <c r="O21" s="7"/>
      <c r="P21" s="7"/>
      <c r="Q21" s="74"/>
      <c r="R21" s="7"/>
      <c r="S21" s="7"/>
      <c r="T21" s="7"/>
      <c r="U21" s="7"/>
      <c r="V21" s="7"/>
      <c r="W21" s="7"/>
      <c r="X21" s="7"/>
      <c r="Y21" s="7"/>
      <c r="Z21" s="7"/>
    </row>
    <row r="22" spans="1:26" ht="12.75" customHeight="1">
      <c r="A22" s="7" t="s">
        <v>224</v>
      </c>
      <c r="B22" s="7" t="s">
        <v>225</v>
      </c>
      <c r="C22" s="7" t="s">
        <v>226</v>
      </c>
      <c r="D22" s="7" t="s">
        <v>227</v>
      </c>
      <c r="E22" s="7" t="s">
        <v>228</v>
      </c>
      <c r="F22" s="7" t="s">
        <v>139</v>
      </c>
      <c r="G22" s="7" t="s">
        <v>181</v>
      </c>
      <c r="H22" s="7" t="s">
        <v>182</v>
      </c>
      <c r="I22" s="7" t="s">
        <v>139</v>
      </c>
      <c r="J22" s="7" t="s">
        <v>183</v>
      </c>
      <c r="K22" s="7" t="s">
        <v>184</v>
      </c>
      <c r="L22" s="7" t="s">
        <v>139</v>
      </c>
      <c r="M22" s="7"/>
      <c r="N22" s="7"/>
      <c r="O22" s="7"/>
      <c r="P22" s="7"/>
      <c r="Q22" s="74"/>
      <c r="R22" s="7"/>
      <c r="S22" s="7"/>
      <c r="T22" s="7"/>
      <c r="U22" s="7"/>
      <c r="V22" s="7"/>
      <c r="W22" s="7"/>
      <c r="X22" s="7"/>
      <c r="Y22" s="7"/>
      <c r="Z22" s="7"/>
    </row>
    <row r="23" spans="1:26" ht="12.75" customHeight="1">
      <c r="A23" s="7" t="s">
        <v>229</v>
      </c>
      <c r="B23" s="7" t="s">
        <v>230</v>
      </c>
      <c r="C23" s="7" t="s">
        <v>231</v>
      </c>
      <c r="D23" s="7" t="s">
        <v>232</v>
      </c>
      <c r="E23" s="7" t="s">
        <v>233</v>
      </c>
      <c r="F23" s="7" t="s">
        <v>139</v>
      </c>
      <c r="G23" s="7" t="s">
        <v>181</v>
      </c>
      <c r="H23" s="7" t="s">
        <v>182</v>
      </c>
      <c r="I23" s="7" t="s">
        <v>139</v>
      </c>
      <c r="J23" s="7" t="s">
        <v>183</v>
      </c>
      <c r="K23" s="7" t="s">
        <v>184</v>
      </c>
      <c r="L23" s="7" t="s">
        <v>139</v>
      </c>
      <c r="M23" s="7"/>
      <c r="N23" s="7"/>
      <c r="O23" s="7"/>
      <c r="P23" s="7"/>
      <c r="Q23" s="74"/>
      <c r="R23" s="7"/>
      <c r="S23" s="7"/>
      <c r="T23" s="7"/>
      <c r="U23" s="7"/>
      <c r="V23" s="7"/>
      <c r="W23" s="7"/>
      <c r="X23" s="7"/>
      <c r="Y23" s="7"/>
      <c r="Z23" s="7"/>
    </row>
    <row r="24" spans="1:26" ht="12.75" customHeight="1">
      <c r="A24" s="7" t="s">
        <v>234</v>
      </c>
      <c r="B24" s="7" t="s">
        <v>235</v>
      </c>
      <c r="C24" s="7" t="s">
        <v>236</v>
      </c>
      <c r="D24" s="7" t="s">
        <v>237</v>
      </c>
      <c r="E24" s="7" t="s">
        <v>238</v>
      </c>
      <c r="F24" s="7" t="s">
        <v>139</v>
      </c>
      <c r="G24" s="7" t="s">
        <v>181</v>
      </c>
      <c r="H24" s="7" t="s">
        <v>182</v>
      </c>
      <c r="I24" s="7" t="s">
        <v>139</v>
      </c>
      <c r="J24" s="7" t="s">
        <v>183</v>
      </c>
      <c r="K24" s="7" t="s">
        <v>184</v>
      </c>
      <c r="L24" s="7" t="s">
        <v>139</v>
      </c>
      <c r="M24" s="7"/>
      <c r="N24" s="7"/>
      <c r="O24" s="7"/>
      <c r="P24" s="7"/>
      <c r="Q24" s="74"/>
      <c r="R24" s="7"/>
      <c r="S24" s="7"/>
      <c r="T24" s="7"/>
      <c r="U24" s="7"/>
      <c r="V24" s="7"/>
      <c r="W24" s="7"/>
      <c r="X24" s="7"/>
      <c r="Y24" s="7"/>
      <c r="Z24" s="7"/>
    </row>
    <row r="25" spans="1:26" ht="12.75" customHeight="1">
      <c r="A25" s="7" t="s">
        <v>239</v>
      </c>
      <c r="B25" s="7" t="s">
        <v>240</v>
      </c>
      <c r="C25" s="7" t="s">
        <v>241</v>
      </c>
      <c r="D25" s="7" t="s">
        <v>242</v>
      </c>
      <c r="E25" s="7" t="s">
        <v>243</v>
      </c>
      <c r="F25" s="7" t="s">
        <v>139</v>
      </c>
      <c r="G25" s="7" t="s">
        <v>181</v>
      </c>
      <c r="H25" s="7" t="s">
        <v>182</v>
      </c>
      <c r="I25" s="7" t="s">
        <v>139</v>
      </c>
      <c r="J25" s="7" t="s">
        <v>183</v>
      </c>
      <c r="K25" s="7" t="s">
        <v>184</v>
      </c>
      <c r="L25" s="7" t="s">
        <v>139</v>
      </c>
      <c r="M25" s="7"/>
      <c r="N25" s="7"/>
      <c r="O25" s="7"/>
      <c r="P25" s="7"/>
      <c r="Q25" s="74"/>
      <c r="R25" s="7"/>
      <c r="S25" s="7"/>
      <c r="T25" s="7"/>
      <c r="U25" s="7"/>
      <c r="V25" s="7"/>
      <c r="W25" s="7"/>
      <c r="X25" s="7"/>
      <c r="Y25" s="7"/>
      <c r="Z25" s="7"/>
    </row>
    <row r="26" spans="1:26" ht="12.75" customHeight="1">
      <c r="A26" s="7" t="s">
        <v>244</v>
      </c>
      <c r="B26" s="7" t="s">
        <v>245</v>
      </c>
      <c r="C26" s="7" t="s">
        <v>246</v>
      </c>
      <c r="D26" s="7" t="s">
        <v>247</v>
      </c>
      <c r="E26" s="7" t="s">
        <v>248</v>
      </c>
      <c r="F26" s="7" t="s">
        <v>139</v>
      </c>
      <c r="G26" s="7" t="s">
        <v>181</v>
      </c>
      <c r="H26" s="7" t="s">
        <v>182</v>
      </c>
      <c r="I26" s="7" t="s">
        <v>139</v>
      </c>
      <c r="J26" s="7" t="s">
        <v>183</v>
      </c>
      <c r="K26" s="7" t="s">
        <v>184</v>
      </c>
      <c r="L26" s="7" t="s">
        <v>139</v>
      </c>
      <c r="M26" s="7"/>
      <c r="N26" s="7"/>
      <c r="O26" s="7"/>
      <c r="P26" s="7"/>
      <c r="Q26" s="74"/>
      <c r="R26" s="7"/>
      <c r="S26" s="7"/>
      <c r="T26" s="7"/>
      <c r="U26" s="7"/>
      <c r="V26" s="7"/>
      <c r="W26" s="7"/>
      <c r="X26" s="7"/>
      <c r="Y26" s="7"/>
      <c r="Z26" s="7"/>
    </row>
    <row r="27" spans="1:26" ht="12.75" customHeight="1">
      <c r="A27" s="7" t="s">
        <v>146</v>
      </c>
      <c r="B27" s="7"/>
      <c r="C27" s="7"/>
      <c r="D27" s="7"/>
      <c r="E27" s="7"/>
      <c r="F27" s="7"/>
      <c r="G27" s="7"/>
      <c r="H27" s="7"/>
      <c r="I27" s="7"/>
      <c r="J27" s="7"/>
      <c r="K27" s="7"/>
      <c r="L27" s="7"/>
      <c r="M27" s="7"/>
      <c r="N27" s="7"/>
      <c r="O27" s="7"/>
      <c r="P27" s="7"/>
      <c r="Q27" s="74"/>
      <c r="R27" s="7"/>
      <c r="S27" s="7"/>
      <c r="T27" s="7"/>
      <c r="U27" s="7"/>
      <c r="V27" s="7"/>
      <c r="W27" s="7"/>
      <c r="X27" s="7"/>
      <c r="Y27" s="7"/>
      <c r="Z27" s="7"/>
    </row>
    <row r="28" spans="1:26" ht="12.75" customHeight="1">
      <c r="A28" s="7" t="s">
        <v>249</v>
      </c>
      <c r="B28" s="7" t="s">
        <v>250</v>
      </c>
      <c r="C28" s="7" t="s">
        <v>251</v>
      </c>
      <c r="D28" s="7" t="s">
        <v>252</v>
      </c>
      <c r="E28" s="7" t="s">
        <v>253</v>
      </c>
      <c r="F28" s="7" t="s">
        <v>139</v>
      </c>
      <c r="G28" s="7" t="s">
        <v>181</v>
      </c>
      <c r="H28" s="7" t="s">
        <v>182</v>
      </c>
      <c r="I28" s="7" t="s">
        <v>139</v>
      </c>
      <c r="J28" s="7" t="s">
        <v>183</v>
      </c>
      <c r="K28" s="7" t="s">
        <v>184</v>
      </c>
      <c r="L28" s="7" t="s">
        <v>139</v>
      </c>
      <c r="M28" s="7"/>
      <c r="N28" s="7"/>
      <c r="O28" s="7"/>
      <c r="P28" s="7"/>
      <c r="Q28" s="74"/>
      <c r="R28" s="7"/>
      <c r="S28" s="7"/>
      <c r="T28" s="7"/>
      <c r="U28" s="7"/>
      <c r="V28" s="7"/>
      <c r="W28" s="7"/>
      <c r="X28" s="7"/>
      <c r="Y28" s="7"/>
      <c r="Z28" s="7"/>
    </row>
    <row r="29" spans="1:26" ht="12.75" customHeight="1">
      <c r="A29" s="7" t="s">
        <v>254</v>
      </c>
      <c r="B29" s="7" t="s">
        <v>255</v>
      </c>
      <c r="C29" s="7" t="s">
        <v>256</v>
      </c>
      <c r="D29" s="7" t="s">
        <v>257</v>
      </c>
      <c r="E29" s="7" t="s">
        <v>258</v>
      </c>
      <c r="F29" s="7" t="s">
        <v>139</v>
      </c>
      <c r="G29" s="7" t="s">
        <v>181</v>
      </c>
      <c r="H29" s="7" t="s">
        <v>182</v>
      </c>
      <c r="I29" s="7" t="s">
        <v>139</v>
      </c>
      <c r="J29" s="7" t="s">
        <v>183</v>
      </c>
      <c r="K29" s="7" t="s">
        <v>184</v>
      </c>
      <c r="L29" s="7" t="s">
        <v>139</v>
      </c>
      <c r="M29" s="7"/>
      <c r="N29" s="7"/>
      <c r="O29" s="7"/>
      <c r="P29" s="7"/>
      <c r="Q29" s="74"/>
      <c r="R29" s="7"/>
      <c r="S29" s="7"/>
      <c r="T29" s="7"/>
      <c r="U29" s="7"/>
      <c r="V29" s="7"/>
      <c r="W29" s="7"/>
      <c r="X29" s="7"/>
      <c r="Y29" s="7"/>
      <c r="Z29" s="7"/>
    </row>
    <row r="30" spans="1:26" ht="12.75" customHeight="1">
      <c r="A30" s="7" t="s">
        <v>259</v>
      </c>
      <c r="B30" s="7" t="s">
        <v>260</v>
      </c>
      <c r="C30" s="7" t="s">
        <v>261</v>
      </c>
      <c r="D30" s="7" t="s">
        <v>262</v>
      </c>
      <c r="E30" s="7" t="s">
        <v>263</v>
      </c>
      <c r="F30" s="7" t="s">
        <v>139</v>
      </c>
      <c r="G30" s="7" t="s">
        <v>181</v>
      </c>
      <c r="H30" s="7" t="s">
        <v>182</v>
      </c>
      <c r="I30" s="7" t="s">
        <v>139</v>
      </c>
      <c r="J30" s="7" t="s">
        <v>183</v>
      </c>
      <c r="K30" s="7" t="s">
        <v>184</v>
      </c>
      <c r="L30" s="7" t="s">
        <v>139</v>
      </c>
      <c r="M30" s="7"/>
      <c r="N30" s="7"/>
      <c r="O30" s="7"/>
      <c r="P30" s="7"/>
      <c r="Q30" s="74"/>
      <c r="R30" s="7"/>
      <c r="S30" s="7"/>
      <c r="T30" s="7"/>
      <c r="U30" s="7"/>
      <c r="V30" s="7"/>
      <c r="W30" s="7"/>
      <c r="X30" s="7"/>
      <c r="Y30" s="7"/>
      <c r="Z30" s="7"/>
    </row>
    <row r="31" spans="1:26" ht="12.75" customHeight="1">
      <c r="A31" s="7" t="s">
        <v>264</v>
      </c>
      <c r="B31" s="7" t="s">
        <v>265</v>
      </c>
      <c r="C31" s="7" t="s">
        <v>266</v>
      </c>
      <c r="D31" s="7" t="s">
        <v>267</v>
      </c>
      <c r="E31" s="7" t="s">
        <v>268</v>
      </c>
      <c r="F31" s="7" t="s">
        <v>139</v>
      </c>
      <c r="G31" s="7" t="s">
        <v>181</v>
      </c>
      <c r="H31" s="7" t="s">
        <v>182</v>
      </c>
      <c r="I31" s="7" t="s">
        <v>139</v>
      </c>
      <c r="J31" s="7" t="s">
        <v>183</v>
      </c>
      <c r="K31" s="7" t="s">
        <v>184</v>
      </c>
      <c r="L31" s="7" t="s">
        <v>139</v>
      </c>
      <c r="M31" s="7"/>
      <c r="N31" s="7"/>
      <c r="O31" s="7"/>
      <c r="P31" s="7"/>
      <c r="Q31" s="74"/>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4"/>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4"/>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4"/>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4"/>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4"/>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4"/>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4"/>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4"/>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4"/>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4"/>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4"/>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4"/>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4"/>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4"/>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4"/>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4"/>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4"/>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4"/>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4"/>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4"/>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4"/>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4"/>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4"/>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4"/>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4"/>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4"/>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4"/>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4"/>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4"/>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4"/>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4"/>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4"/>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4"/>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4"/>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4"/>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4"/>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4"/>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4"/>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4"/>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4"/>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4"/>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4"/>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4"/>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4"/>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4"/>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4"/>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4"/>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4"/>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4"/>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4"/>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4"/>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4"/>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4"/>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4"/>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4"/>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4"/>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4"/>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4"/>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4"/>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4"/>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4"/>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4"/>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4"/>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4"/>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4"/>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4"/>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4"/>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4"/>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4"/>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4"/>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4"/>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4"/>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4"/>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4"/>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4"/>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4"/>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4"/>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4"/>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4"/>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4"/>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4"/>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4"/>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4"/>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4"/>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4"/>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4"/>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4"/>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4"/>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4"/>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4"/>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4"/>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4"/>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4"/>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4"/>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4"/>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4"/>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4"/>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4"/>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4"/>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4"/>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4"/>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4"/>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4"/>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4"/>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4"/>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4"/>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4"/>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4"/>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4"/>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4"/>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4"/>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4"/>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4"/>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4"/>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4"/>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4"/>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4"/>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4"/>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4"/>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4"/>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4"/>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4"/>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4"/>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4"/>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4"/>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4"/>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4"/>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4"/>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4"/>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4"/>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4"/>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4"/>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4"/>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4"/>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4"/>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4"/>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4"/>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4"/>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4"/>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4"/>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4"/>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4"/>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4"/>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4"/>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4"/>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4"/>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4"/>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4"/>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4"/>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4"/>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4"/>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4"/>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4"/>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4"/>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4"/>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4"/>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4"/>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4"/>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4"/>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4"/>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4"/>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4"/>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4"/>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4"/>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4"/>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4"/>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4"/>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4"/>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4"/>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4"/>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4"/>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4"/>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4"/>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4"/>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4"/>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4"/>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4"/>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4"/>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4"/>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4"/>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4"/>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4"/>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4"/>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4"/>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4"/>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4"/>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4"/>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4"/>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4"/>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4"/>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4"/>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4"/>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4"/>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4"/>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4"/>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4"/>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4"/>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4"/>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4"/>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4"/>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4"/>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4"/>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4"/>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4"/>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4"/>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4"/>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4"/>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4"/>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4"/>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4"/>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4"/>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4"/>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4"/>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4"/>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4"/>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4"/>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4"/>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4"/>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4"/>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4"/>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4"/>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4"/>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4"/>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4"/>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4"/>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4"/>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4"/>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4"/>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4"/>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4"/>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4"/>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4"/>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4"/>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4"/>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4"/>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4"/>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4"/>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4"/>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4"/>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4"/>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4"/>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4"/>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4"/>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4"/>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4"/>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4"/>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4"/>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4"/>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4"/>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4"/>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4"/>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4"/>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4"/>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4"/>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4"/>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4"/>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4"/>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4"/>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4"/>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4"/>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4"/>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4"/>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4"/>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4"/>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4"/>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4"/>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4"/>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4"/>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4"/>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4"/>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4"/>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4"/>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4"/>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4"/>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4"/>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4"/>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4"/>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4"/>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4"/>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4"/>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4"/>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4"/>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4"/>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4"/>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4"/>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4"/>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4"/>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4"/>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4"/>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4"/>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4"/>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4"/>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4"/>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4"/>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4"/>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4"/>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4"/>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4"/>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4"/>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4"/>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4"/>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4"/>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4"/>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4"/>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4"/>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4"/>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4"/>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4"/>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4"/>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4"/>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4"/>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4"/>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4"/>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4"/>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4"/>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4"/>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4"/>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4"/>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4"/>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4"/>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4"/>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4"/>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4"/>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4"/>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4"/>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4"/>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4"/>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4"/>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4"/>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4"/>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4"/>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4"/>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4"/>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4"/>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4"/>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4"/>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4"/>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4"/>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4"/>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4"/>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4"/>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4"/>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4"/>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4"/>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4"/>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4"/>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4"/>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4"/>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4"/>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4"/>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4"/>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4"/>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4"/>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4"/>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4"/>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4"/>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4"/>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4"/>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4"/>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4"/>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4"/>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4"/>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4"/>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4"/>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4"/>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4"/>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4"/>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4"/>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4"/>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4"/>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4"/>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4"/>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4"/>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4"/>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4"/>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4"/>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4"/>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4"/>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4"/>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4"/>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4"/>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4"/>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4"/>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4"/>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4"/>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4"/>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4"/>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4"/>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4"/>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4"/>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4"/>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4"/>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4"/>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4"/>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4"/>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4"/>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4"/>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4"/>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4"/>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4"/>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4"/>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4"/>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4"/>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4"/>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4"/>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4"/>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4"/>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4"/>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4"/>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4"/>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4"/>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4"/>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4"/>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4"/>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4"/>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4"/>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4"/>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4"/>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4"/>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4"/>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4"/>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4"/>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4"/>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4"/>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4"/>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4"/>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4"/>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4"/>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4"/>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4"/>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4"/>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4"/>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4"/>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4"/>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4"/>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4"/>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4"/>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4"/>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4"/>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4"/>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4"/>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4"/>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4"/>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4"/>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4"/>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4"/>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4"/>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4"/>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4"/>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4"/>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4"/>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4"/>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4"/>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4"/>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4"/>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4"/>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4"/>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4"/>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4"/>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4"/>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4"/>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4"/>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4"/>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4"/>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4"/>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4"/>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4"/>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4"/>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4"/>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4"/>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4"/>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4"/>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4"/>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4"/>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4"/>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4"/>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4"/>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4"/>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4"/>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4"/>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4"/>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4"/>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4"/>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4"/>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4"/>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4"/>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4"/>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4"/>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4"/>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4"/>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4"/>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4"/>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4"/>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4"/>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4"/>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4"/>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4"/>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4"/>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4"/>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4"/>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4"/>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4"/>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4"/>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4"/>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4"/>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4"/>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4"/>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4"/>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4"/>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4"/>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4"/>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4"/>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4"/>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4"/>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4"/>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4"/>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4"/>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4"/>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4"/>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4"/>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4"/>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4"/>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4"/>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4"/>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4"/>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4"/>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4"/>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4"/>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4"/>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4"/>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4"/>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4"/>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4"/>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4"/>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4"/>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4"/>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4"/>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4"/>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4"/>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4"/>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4"/>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4"/>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4"/>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4"/>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4"/>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4"/>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4"/>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4"/>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4"/>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4"/>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4"/>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4"/>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4"/>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4"/>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4"/>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4"/>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4"/>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4"/>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4"/>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4"/>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4"/>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4"/>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4"/>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4"/>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4"/>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4"/>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4"/>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4"/>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4"/>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4"/>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4"/>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4"/>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4"/>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4"/>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4"/>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4"/>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4"/>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4"/>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4"/>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4"/>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4"/>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4"/>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4"/>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4"/>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4"/>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4"/>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4"/>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4"/>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4"/>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4"/>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4"/>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4"/>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4"/>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4"/>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4"/>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4"/>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4"/>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4"/>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4"/>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4"/>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4"/>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4"/>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4"/>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4"/>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4"/>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4"/>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4"/>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4"/>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4"/>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4"/>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4"/>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4"/>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4"/>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4"/>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4"/>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4"/>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4"/>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4"/>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4"/>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4"/>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4"/>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4"/>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4"/>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4"/>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4"/>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4"/>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4"/>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4"/>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4"/>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4"/>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4"/>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4"/>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4"/>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4"/>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4"/>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4"/>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4"/>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4"/>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4"/>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4"/>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4"/>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4"/>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4"/>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4"/>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4"/>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4"/>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4"/>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4"/>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4"/>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4"/>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4"/>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4"/>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4"/>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4"/>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4"/>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4"/>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4"/>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4"/>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4"/>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4"/>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4"/>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4"/>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4"/>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4"/>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4"/>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4"/>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4"/>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4"/>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4"/>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4"/>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4"/>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4"/>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4"/>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4"/>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4"/>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4"/>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4"/>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4"/>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4"/>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4"/>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4"/>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4"/>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4"/>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4"/>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4"/>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4"/>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4"/>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4"/>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4"/>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4"/>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4"/>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4"/>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4"/>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4"/>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4"/>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4"/>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4"/>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4"/>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4"/>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4"/>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4"/>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4"/>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4"/>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4"/>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4"/>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4"/>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4"/>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4"/>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4"/>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4"/>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4"/>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4"/>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4"/>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4"/>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4"/>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4"/>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4"/>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4"/>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4"/>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4"/>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4"/>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4"/>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4"/>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4"/>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4"/>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4"/>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4"/>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4"/>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4"/>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4"/>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4"/>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4"/>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4"/>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4"/>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4"/>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4"/>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4"/>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4"/>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4"/>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4"/>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4"/>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4"/>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4"/>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4"/>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4"/>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4"/>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4"/>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4"/>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4"/>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4"/>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4"/>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4"/>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4"/>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4"/>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4"/>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4"/>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4"/>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4"/>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4"/>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4"/>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4"/>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4"/>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4"/>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4"/>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4"/>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4"/>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4"/>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4"/>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4"/>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4"/>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4"/>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4"/>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4"/>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4"/>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4"/>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4"/>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4"/>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4"/>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4"/>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4"/>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4"/>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4"/>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4"/>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4"/>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4"/>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4"/>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4"/>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4"/>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4"/>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4"/>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4"/>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4"/>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4"/>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4"/>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4"/>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4"/>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4"/>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4"/>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4"/>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4"/>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4"/>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4"/>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4"/>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4"/>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4"/>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4"/>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4"/>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4"/>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4"/>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4"/>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4"/>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4"/>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4"/>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4"/>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4"/>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4"/>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4"/>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4"/>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4"/>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4"/>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4"/>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4"/>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4"/>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4"/>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4"/>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4"/>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4"/>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4"/>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4"/>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4"/>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4"/>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4"/>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4"/>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4"/>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4"/>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4"/>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4"/>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4"/>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4"/>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4"/>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4"/>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4"/>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4"/>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4"/>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4"/>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4"/>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4"/>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4"/>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4"/>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4"/>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4"/>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4"/>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4"/>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4"/>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4"/>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4"/>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4"/>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4"/>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4"/>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4"/>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4"/>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4"/>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4"/>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4"/>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4"/>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4"/>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4"/>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4"/>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4"/>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4"/>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4"/>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4"/>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4"/>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4"/>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4"/>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4"/>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4"/>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4"/>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4"/>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4"/>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4"/>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4"/>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4"/>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4"/>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4"/>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4"/>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4"/>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4"/>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4"/>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4"/>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4"/>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4"/>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4"/>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4"/>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4"/>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4"/>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4"/>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4"/>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4"/>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4"/>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4"/>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4"/>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4"/>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4"/>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4"/>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4"/>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4"/>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4"/>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4"/>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4"/>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4"/>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4"/>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4"/>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4"/>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4"/>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4"/>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4"/>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4"/>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4"/>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4"/>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4"/>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4"/>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4"/>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4"/>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4"/>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4"/>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4"/>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4"/>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4"/>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4"/>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4"/>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4"/>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4"/>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4"/>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4"/>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4"/>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4"/>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4"/>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4"/>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4"/>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4"/>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4"/>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4"/>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4"/>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4"/>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4"/>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4"/>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4"/>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4"/>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4"/>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4"/>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4"/>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4"/>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4"/>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4"/>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4"/>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4"/>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4"/>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4"/>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4"/>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4"/>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4"/>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4"/>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4"/>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4"/>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4"/>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4"/>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4"/>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4"/>
      <c r="R1000" s="7"/>
      <c r="S1000" s="7"/>
      <c r="T1000" s="7"/>
      <c r="U1000" s="7"/>
      <c r="V1000" s="7"/>
      <c r="W1000" s="7"/>
      <c r="X1000" s="7"/>
      <c r="Y1000" s="7"/>
      <c r="Z1000" s="7"/>
    </row>
  </sheetData>
  <mergeCells count="3">
    <mergeCell ref="B2:E2"/>
    <mergeCell ref="B3:E3"/>
    <mergeCell ref="B4:E4"/>
  </mergeCells>
  <dataValidations count="15">
    <dataValidation type="list" allowBlank="1" showErrorMessage="1" sqref="F12:F20">
      <formula1>$R$2:$R$5</formula1>
    </dataValidation>
    <dataValidation type="list" allowBlank="1" showErrorMessage="1" sqref="G100:G144">
      <formula1>$R$2:$R$5</formula1>
    </dataValidation>
    <dataValidation type="list" allowBlank="1" showErrorMessage="1" sqref="G2:G3">
      <formula1>$R$2:$R$5</formula1>
    </dataValidation>
    <dataValidation type="list" allowBlank="1" showErrorMessage="1" sqref="G21:G144">
      <formula1>$R$2:$R$5</formula1>
    </dataValidation>
    <dataValidation type="list" allowBlank="1" showErrorMessage="1" sqref="G9">
      <formula1>$R$2:$R$5</formula1>
    </dataValidation>
    <dataValidation type="list" allowBlank="1" showErrorMessage="1" sqref="I12:I20">
      <formula1>$R$2:$R$5</formula1>
    </dataValidation>
    <dataValidation type="list" allowBlank="1" showErrorMessage="1" sqref="J100:J144">
      <formula1>$R$2:$R$5</formula1>
    </dataValidation>
    <dataValidation type="list" allowBlank="1" showErrorMessage="1" sqref="J2:J3">
      <formula1>$R$2:$R$5</formula1>
    </dataValidation>
    <dataValidation type="list" allowBlank="1" showErrorMessage="1" sqref="J21:J144">
      <formula1>$R$2:$R$5</formula1>
    </dataValidation>
    <dataValidation type="list" allowBlank="1" showErrorMessage="1" sqref="J9">
      <formula1>$R$2:$R$5</formula1>
    </dataValidation>
    <dataValidation type="list" allowBlank="1" showErrorMessage="1" sqref="L12:L20">
      <formula1>$R$2:$R$5</formula1>
    </dataValidation>
    <dataValidation type="list" allowBlank="1" showErrorMessage="1" sqref="M100:M144">
      <formula1>$R$2:$R$5</formula1>
    </dataValidation>
    <dataValidation type="list" allowBlank="1" showErrorMessage="1" sqref="M2:M3">
      <formula1>$R$2:$R$5</formula1>
    </dataValidation>
    <dataValidation type="list" allowBlank="1" showErrorMessage="1" sqref="M21:M144">
      <formula1>$R$2:$R$5</formula1>
    </dataValidation>
    <dataValidation type="list" allowBlank="1" showErrorMessage="1" sqref="M9">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zoomScaleNormal="100" workbookViewId="0">
      <pane ySplit="10" topLeftCell="A17" activePane="bottomLeft" state="frozen"/>
      <selection pane="bottomLeft" activeCell="B12" sqref="B12"/>
    </sheetView>
  </sheetViews>
  <sheetFormatPr defaultColWidth="12.6640625" defaultRowHeight="14.4" outlineLevelRow="1" outlineLevelCol="1"/>
  <cols>
    <col min="1" max="1" width="17" customWidth="1"/>
    <col min="2" max="2" width="34.44140625" customWidth="1"/>
    <col min="3" max="3" width="33.33203125" customWidth="1"/>
    <col min="4" max="4" width="34.6640625" customWidth="1"/>
    <col min="5" max="5" width="30.33203125" customWidth="1"/>
    <col min="6" max="6" width="11" customWidth="1"/>
    <col min="7" max="7" width="10.6640625" customWidth="1" outlineLevel="1" collapsed="1"/>
    <col min="8" max="8" width="10.109375" customWidth="1" outlineLevel="1" collapsed="1"/>
    <col min="9" max="9" width="9.33203125" customWidth="1"/>
    <col min="10" max="10" width="10.6640625" customWidth="1" outlineLevel="1" collapsed="1"/>
    <col min="11" max="11" width="10.44140625" customWidth="1" outlineLevel="1" collapsed="1"/>
    <col min="12" max="12" width="9.33203125" customWidth="1"/>
    <col min="13" max="13" width="10.6640625" customWidth="1" outlineLevel="1" collapsed="1"/>
    <col min="14" max="14" width="9"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74"/>
      <c r="R1" s="7"/>
      <c r="S1" s="7"/>
      <c r="T1" s="7"/>
      <c r="U1" s="7"/>
      <c r="V1" s="7"/>
      <c r="W1" s="7"/>
      <c r="X1" s="7"/>
      <c r="Y1" s="7"/>
      <c r="Z1" s="7"/>
    </row>
    <row r="2" spans="1:26" ht="15" customHeight="1">
      <c r="A2" s="75" t="s">
        <v>159</v>
      </c>
      <c r="B2" s="114" t="s">
        <v>269</v>
      </c>
      <c r="C2" s="115"/>
      <c r="D2" s="115"/>
      <c r="E2" s="116"/>
      <c r="F2" s="76"/>
      <c r="G2" s="77"/>
      <c r="H2" s="37"/>
      <c r="I2" s="76"/>
      <c r="J2" s="77"/>
      <c r="K2" s="37"/>
      <c r="L2" s="76"/>
      <c r="M2" s="77"/>
      <c r="N2" s="37"/>
      <c r="O2" s="37"/>
      <c r="P2" s="37"/>
      <c r="Q2" s="78"/>
      <c r="R2" s="79" t="s">
        <v>139</v>
      </c>
      <c r="S2" s="79"/>
      <c r="T2" s="79"/>
      <c r="U2" s="79"/>
      <c r="V2" s="79"/>
      <c r="W2" s="79"/>
      <c r="X2" s="79"/>
      <c r="Y2" s="79"/>
      <c r="Z2" s="79"/>
    </row>
    <row r="3" spans="1:26" ht="40.5" customHeight="1">
      <c r="A3" s="80" t="s">
        <v>161</v>
      </c>
      <c r="B3" s="117" t="s">
        <v>270</v>
      </c>
      <c r="C3" s="102"/>
      <c r="D3" s="102"/>
      <c r="E3" s="118"/>
      <c r="F3" s="76"/>
      <c r="G3" s="77"/>
      <c r="H3" s="37"/>
      <c r="I3" s="76"/>
      <c r="J3" s="77"/>
      <c r="K3" s="37"/>
      <c r="L3" s="76"/>
      <c r="M3" s="77"/>
      <c r="N3" s="37"/>
      <c r="O3" s="37"/>
      <c r="P3" s="37"/>
      <c r="Q3" s="78"/>
      <c r="R3" s="79" t="s">
        <v>140</v>
      </c>
      <c r="S3" s="79"/>
      <c r="T3" s="79"/>
      <c r="U3" s="79"/>
      <c r="V3" s="79"/>
      <c r="W3" s="79"/>
      <c r="X3" s="79"/>
      <c r="Y3" s="79"/>
      <c r="Z3" s="79"/>
    </row>
    <row r="4" spans="1:26" ht="18" customHeight="1">
      <c r="A4" s="80" t="s">
        <v>163</v>
      </c>
      <c r="B4" s="117">
        <v>15</v>
      </c>
      <c r="C4" s="102"/>
      <c r="D4" s="102"/>
      <c r="E4" s="118"/>
      <c r="F4" s="76"/>
      <c r="G4" s="77"/>
      <c r="H4" s="37"/>
      <c r="I4" s="76"/>
      <c r="J4" s="77"/>
      <c r="K4" s="37"/>
      <c r="L4" s="76"/>
      <c r="M4" s="77"/>
      <c r="N4" s="37"/>
      <c r="O4" s="37"/>
      <c r="P4" s="37"/>
      <c r="Q4" s="78"/>
      <c r="R4" s="79" t="s">
        <v>141</v>
      </c>
      <c r="S4" s="79"/>
      <c r="T4" s="79"/>
      <c r="U4" s="79"/>
      <c r="V4" s="79"/>
      <c r="W4" s="79"/>
      <c r="X4" s="79"/>
      <c r="Y4" s="79"/>
      <c r="Z4" s="79"/>
    </row>
    <row r="5" spans="1:26" ht="19.5" customHeight="1">
      <c r="A5" s="81" t="s">
        <v>164</v>
      </c>
      <c r="B5" s="82" t="s">
        <v>139</v>
      </c>
      <c r="C5" s="82" t="s">
        <v>140</v>
      </c>
      <c r="D5" s="82" t="s">
        <v>141</v>
      </c>
      <c r="E5" s="83" t="s">
        <v>142</v>
      </c>
      <c r="F5" s="84"/>
      <c r="G5" s="84"/>
      <c r="H5" s="85"/>
      <c r="I5" s="84"/>
      <c r="J5" s="84"/>
      <c r="K5" s="85"/>
      <c r="L5" s="84"/>
      <c r="M5" s="84"/>
      <c r="N5" s="85"/>
      <c r="O5" s="85"/>
      <c r="P5" s="85"/>
      <c r="Q5" s="86"/>
      <c r="R5" s="79" t="s">
        <v>142</v>
      </c>
      <c r="S5" s="79"/>
      <c r="T5" s="79"/>
      <c r="U5" s="79"/>
      <c r="V5" s="79"/>
      <c r="W5" s="79"/>
      <c r="X5" s="79"/>
      <c r="Y5" s="79"/>
      <c r="Z5" s="79"/>
    </row>
    <row r="6" spans="1:26" ht="15" customHeight="1">
      <c r="A6" s="81" t="s">
        <v>165</v>
      </c>
      <c r="B6" s="7">
        <f t="shared" ref="B6:E8" si="0">COUNTIF($F$11:$F$39,B$5)</f>
        <v>15</v>
      </c>
      <c r="C6" s="7">
        <f t="shared" si="0"/>
        <v>0</v>
      </c>
      <c r="D6" s="7">
        <f t="shared" si="0"/>
        <v>0</v>
      </c>
      <c r="E6" s="88">
        <f t="shared" si="0"/>
        <v>0</v>
      </c>
      <c r="F6" s="89"/>
      <c r="G6" s="89"/>
      <c r="H6" s="85"/>
      <c r="I6" s="89"/>
      <c r="J6" s="89"/>
      <c r="K6" s="85"/>
      <c r="L6" s="89"/>
      <c r="M6" s="89"/>
      <c r="N6" s="85"/>
      <c r="O6" s="85"/>
      <c r="P6" s="85"/>
      <c r="Q6" s="86"/>
      <c r="R6" s="79"/>
      <c r="S6" s="79"/>
      <c r="T6" s="79"/>
      <c r="U6" s="79"/>
      <c r="V6" s="79"/>
      <c r="W6" s="79"/>
      <c r="X6" s="79"/>
      <c r="Y6" s="79"/>
      <c r="Z6" s="79"/>
    </row>
    <row r="7" spans="1:26" ht="15" customHeight="1">
      <c r="A7" s="81" t="s">
        <v>166</v>
      </c>
      <c r="B7" s="7">
        <f t="shared" si="0"/>
        <v>15</v>
      </c>
      <c r="C7" s="7">
        <f t="shared" si="0"/>
        <v>0</v>
      </c>
      <c r="D7" s="7">
        <f t="shared" si="0"/>
        <v>0</v>
      </c>
      <c r="E7" s="88">
        <f t="shared" si="0"/>
        <v>0</v>
      </c>
      <c r="F7" s="89"/>
      <c r="G7" s="89"/>
      <c r="H7" s="85"/>
      <c r="I7" s="89"/>
      <c r="J7" s="89"/>
      <c r="K7" s="85"/>
      <c r="L7" s="89"/>
      <c r="M7" s="89"/>
      <c r="N7" s="85"/>
      <c r="O7" s="85"/>
      <c r="P7" s="85"/>
      <c r="Q7" s="86"/>
      <c r="R7" s="79"/>
      <c r="S7" s="79"/>
      <c r="T7" s="79"/>
      <c r="U7" s="79"/>
      <c r="V7" s="79"/>
      <c r="W7" s="79"/>
      <c r="X7" s="79"/>
      <c r="Y7" s="79"/>
      <c r="Z7" s="79"/>
    </row>
    <row r="8" spans="1:26" ht="15" customHeight="1">
      <c r="A8" s="90" t="s">
        <v>167</v>
      </c>
      <c r="B8" s="87">
        <f t="shared" si="0"/>
        <v>15</v>
      </c>
      <c r="C8" s="87">
        <f t="shared" si="0"/>
        <v>0</v>
      </c>
      <c r="D8" s="87">
        <f t="shared" si="0"/>
        <v>0</v>
      </c>
      <c r="E8" s="91">
        <f t="shared" si="0"/>
        <v>0</v>
      </c>
      <c r="F8" s="89"/>
      <c r="G8" s="89"/>
      <c r="H8" s="85"/>
      <c r="I8" s="89"/>
      <c r="J8" s="89"/>
      <c r="K8" s="85"/>
      <c r="L8" s="89"/>
      <c r="M8" s="89"/>
      <c r="N8" s="85"/>
      <c r="O8" s="85"/>
      <c r="P8" s="85"/>
      <c r="Q8" s="86"/>
      <c r="R8" s="79"/>
      <c r="S8" s="79"/>
      <c r="T8" s="79"/>
      <c r="U8" s="79"/>
      <c r="V8" s="79"/>
      <c r="W8" s="79"/>
      <c r="X8" s="79"/>
      <c r="Y8" s="79"/>
      <c r="Z8" s="79"/>
    </row>
    <row r="9" spans="1:26" ht="15" customHeight="1">
      <c r="A9" s="85"/>
      <c r="B9" s="85"/>
      <c r="C9" s="85"/>
      <c r="D9" s="85"/>
      <c r="E9" s="85"/>
      <c r="F9" s="92"/>
      <c r="G9" s="85"/>
      <c r="H9" s="85"/>
      <c r="I9" s="92"/>
      <c r="J9" s="85"/>
      <c r="K9" s="85"/>
      <c r="L9" s="92"/>
      <c r="M9" s="85"/>
      <c r="N9" s="85"/>
      <c r="O9" s="85"/>
      <c r="P9" s="85"/>
      <c r="Q9" s="86"/>
      <c r="R9" s="79"/>
      <c r="S9" s="79"/>
      <c r="T9" s="79"/>
      <c r="U9" s="79"/>
      <c r="V9" s="79"/>
      <c r="W9" s="79"/>
      <c r="X9" s="79"/>
      <c r="Y9" s="79"/>
      <c r="Z9" s="79"/>
    </row>
    <row r="10" spans="1:26" ht="25.5" customHeight="1">
      <c r="A10" s="93" t="s">
        <v>168</v>
      </c>
      <c r="B10" s="93" t="s">
        <v>169</v>
      </c>
      <c r="C10" s="93" t="s">
        <v>170</v>
      </c>
      <c r="D10" s="93" t="s">
        <v>171</v>
      </c>
      <c r="E10" s="93" t="s">
        <v>172</v>
      </c>
      <c r="F10" s="93" t="s">
        <v>165</v>
      </c>
      <c r="G10" s="93" t="s">
        <v>173</v>
      </c>
      <c r="H10" s="93" t="s">
        <v>174</v>
      </c>
      <c r="I10" s="93" t="s">
        <v>166</v>
      </c>
      <c r="J10" s="93" t="s">
        <v>173</v>
      </c>
      <c r="K10" s="93" t="s">
        <v>174</v>
      </c>
      <c r="L10" s="93" t="s">
        <v>167</v>
      </c>
      <c r="M10" s="93" t="s">
        <v>173</v>
      </c>
      <c r="N10" s="93" t="s">
        <v>174</v>
      </c>
      <c r="O10" s="93" t="s">
        <v>175</v>
      </c>
      <c r="P10" s="79"/>
      <c r="Q10" s="94"/>
      <c r="R10" s="79"/>
      <c r="S10" s="79"/>
      <c r="T10" s="79"/>
      <c r="U10" s="79"/>
      <c r="V10" s="79"/>
      <c r="W10" s="79"/>
      <c r="X10" s="79"/>
      <c r="Y10" s="79"/>
      <c r="Z10" s="79"/>
    </row>
    <row r="11" spans="1:26" ht="15.75" customHeight="1">
      <c r="A11" s="95" t="s">
        <v>271</v>
      </c>
      <c r="B11" s="95"/>
      <c r="C11" s="96"/>
      <c r="D11" s="96"/>
      <c r="E11" s="96"/>
      <c r="F11" s="96"/>
      <c r="G11" s="96"/>
      <c r="H11" s="96"/>
      <c r="I11" s="96"/>
      <c r="J11" s="96"/>
      <c r="K11" s="96"/>
      <c r="L11" s="96"/>
      <c r="M11" s="96"/>
      <c r="N11" s="96"/>
      <c r="P11" s="79"/>
      <c r="Q11" s="97"/>
      <c r="R11" s="79"/>
      <c r="S11" s="79"/>
      <c r="T11" s="79"/>
      <c r="U11" s="79"/>
      <c r="V11" s="79"/>
      <c r="W11" s="79"/>
      <c r="X11" s="79"/>
      <c r="Y11" s="79"/>
      <c r="Z11" s="79"/>
    </row>
    <row r="12" spans="1:26" ht="120.75" customHeight="1" outlineLevel="1" collapsed="1">
      <c r="A12" s="7" t="s">
        <v>272</v>
      </c>
      <c r="B12" s="7" t="s">
        <v>273</v>
      </c>
      <c r="C12" s="7" t="s">
        <v>274</v>
      </c>
      <c r="D12" s="74" t="s">
        <v>275</v>
      </c>
      <c r="E12" s="74" t="s">
        <v>276</v>
      </c>
      <c r="F12" s="7" t="s">
        <v>139</v>
      </c>
      <c r="G12" s="7" t="s">
        <v>183</v>
      </c>
      <c r="H12" s="7" t="s">
        <v>182</v>
      </c>
      <c r="I12" s="7" t="s">
        <v>139</v>
      </c>
      <c r="J12" s="7" t="s">
        <v>183</v>
      </c>
      <c r="K12" s="7" t="s">
        <v>184</v>
      </c>
      <c r="L12" s="7" t="s">
        <v>139</v>
      </c>
      <c r="M12" s="7"/>
      <c r="N12" s="7"/>
      <c r="O12" s="7"/>
      <c r="P12" s="98"/>
      <c r="Q12" s="99"/>
      <c r="R12" s="98"/>
      <c r="S12" s="98"/>
      <c r="T12" s="98"/>
      <c r="U12" s="98"/>
      <c r="V12" s="98"/>
      <c r="W12" s="98"/>
      <c r="X12" s="98"/>
      <c r="Y12" s="98"/>
      <c r="Z12" s="98"/>
    </row>
    <row r="13" spans="1:26" ht="120.75" customHeight="1" outlineLevel="1" collapsed="1">
      <c r="A13" s="7" t="s">
        <v>277</v>
      </c>
      <c r="B13" s="7" t="s">
        <v>278</v>
      </c>
      <c r="C13" s="7" t="s">
        <v>279</v>
      </c>
      <c r="D13" s="74" t="s">
        <v>280</v>
      </c>
      <c r="E13" s="74" t="s">
        <v>276</v>
      </c>
      <c r="F13" s="7" t="s">
        <v>139</v>
      </c>
      <c r="G13" s="7" t="s">
        <v>183</v>
      </c>
      <c r="H13" s="7" t="s">
        <v>182</v>
      </c>
      <c r="I13" s="7" t="s">
        <v>139</v>
      </c>
      <c r="J13" s="7" t="s">
        <v>183</v>
      </c>
      <c r="K13" s="7" t="s">
        <v>184</v>
      </c>
      <c r="L13" s="7" t="s">
        <v>139</v>
      </c>
      <c r="M13" s="7"/>
      <c r="N13" s="7"/>
      <c r="O13" s="7"/>
      <c r="P13" s="98"/>
      <c r="Q13" s="99"/>
      <c r="R13" s="98"/>
      <c r="S13" s="98"/>
      <c r="T13" s="98"/>
      <c r="U13" s="98"/>
      <c r="V13" s="98"/>
      <c r="W13" s="98"/>
      <c r="X13" s="98"/>
      <c r="Y13" s="98"/>
      <c r="Z13" s="98"/>
    </row>
    <row r="14" spans="1:26" ht="12.75" customHeight="1" outlineLevel="1" collapsed="1">
      <c r="A14" s="7" t="s">
        <v>281</v>
      </c>
      <c r="B14" s="7" t="s">
        <v>282</v>
      </c>
      <c r="C14" s="7" t="s">
        <v>283</v>
      </c>
      <c r="D14" s="7" t="s">
        <v>284</v>
      </c>
      <c r="E14" s="7" t="s">
        <v>285</v>
      </c>
      <c r="F14" s="7" t="s">
        <v>139</v>
      </c>
      <c r="G14" s="7" t="s">
        <v>286</v>
      </c>
      <c r="H14" s="7" t="s">
        <v>182</v>
      </c>
      <c r="I14" s="7" t="s">
        <v>139</v>
      </c>
      <c r="J14" s="7" t="s">
        <v>286</v>
      </c>
      <c r="K14" s="7" t="s">
        <v>184</v>
      </c>
      <c r="L14" s="7" t="s">
        <v>139</v>
      </c>
      <c r="M14" s="7"/>
      <c r="N14" s="7"/>
      <c r="O14" s="7"/>
      <c r="P14" s="7"/>
      <c r="Q14" s="99"/>
      <c r="R14" s="7"/>
      <c r="S14" s="7"/>
      <c r="T14" s="7"/>
      <c r="U14" s="7"/>
      <c r="V14" s="7"/>
      <c r="W14" s="7"/>
      <c r="X14" s="7"/>
      <c r="Y14" s="7"/>
      <c r="Z14" s="7"/>
    </row>
    <row r="15" spans="1:26" ht="15.75" customHeight="1">
      <c r="A15" s="95" t="s">
        <v>287</v>
      </c>
      <c r="B15" s="95" t="s">
        <v>288</v>
      </c>
      <c r="C15" s="96" t="s">
        <v>289</v>
      </c>
      <c r="D15" s="96" t="s">
        <v>290</v>
      </c>
      <c r="E15" s="96" t="s">
        <v>291</v>
      </c>
      <c r="F15" s="96" t="s">
        <v>139</v>
      </c>
      <c r="G15" s="96" t="s">
        <v>183</v>
      </c>
      <c r="H15" s="96" t="s">
        <v>182</v>
      </c>
      <c r="I15" s="96" t="s">
        <v>139</v>
      </c>
      <c r="J15" s="96" t="s">
        <v>183</v>
      </c>
      <c r="K15" s="96" t="s">
        <v>184</v>
      </c>
      <c r="L15" s="96" t="s">
        <v>139</v>
      </c>
      <c r="M15" s="96"/>
      <c r="N15" s="96"/>
      <c r="P15" s="79"/>
      <c r="Q15" s="97"/>
      <c r="R15" s="79"/>
      <c r="S15" s="79"/>
      <c r="T15" s="79"/>
      <c r="U15" s="79"/>
      <c r="V15" s="79"/>
      <c r="W15" s="79"/>
      <c r="X15" s="79"/>
      <c r="Y15" s="79"/>
      <c r="Z15" s="79"/>
    </row>
    <row r="16" spans="1:26" ht="86.25" customHeight="1" outlineLevel="1" collapsed="1">
      <c r="A16" s="7" t="s">
        <v>292</v>
      </c>
      <c r="B16" s="7" t="s">
        <v>293</v>
      </c>
      <c r="C16" s="7" t="s">
        <v>294</v>
      </c>
      <c r="D16" s="7" t="s">
        <v>295</v>
      </c>
      <c r="E16" s="7" t="s">
        <v>296</v>
      </c>
      <c r="F16" s="7" t="s">
        <v>139</v>
      </c>
      <c r="G16" s="7" t="s">
        <v>297</v>
      </c>
      <c r="H16" s="7" t="s">
        <v>182</v>
      </c>
      <c r="I16" s="7" t="s">
        <v>139</v>
      </c>
      <c r="J16" s="7" t="s">
        <v>183</v>
      </c>
      <c r="K16" s="7" t="s">
        <v>184</v>
      </c>
      <c r="L16" s="7" t="s">
        <v>139</v>
      </c>
      <c r="M16" s="7"/>
      <c r="N16" s="7"/>
      <c r="O16" s="7"/>
      <c r="P16" s="7"/>
      <c r="Q16" s="99"/>
      <c r="R16" s="7"/>
      <c r="S16" s="7"/>
      <c r="T16" s="7"/>
      <c r="U16" s="7"/>
      <c r="V16" s="7"/>
      <c r="W16" s="7"/>
      <c r="X16" s="7"/>
      <c r="Y16" s="7"/>
      <c r="Z16" s="7"/>
    </row>
    <row r="17" spans="1:26" ht="60" customHeight="1" outlineLevel="1" collapsed="1">
      <c r="A17" s="7" t="s">
        <v>298</v>
      </c>
      <c r="B17" s="7" t="s">
        <v>299</v>
      </c>
      <c r="C17" s="7" t="s">
        <v>300</v>
      </c>
      <c r="D17" s="7" t="s">
        <v>301</v>
      </c>
      <c r="E17" s="7" t="s">
        <v>302</v>
      </c>
      <c r="F17" s="7" t="s">
        <v>139</v>
      </c>
      <c r="G17" s="7" t="s">
        <v>183</v>
      </c>
      <c r="H17" s="7" t="s">
        <v>182</v>
      </c>
      <c r="I17" s="7" t="s">
        <v>139</v>
      </c>
      <c r="J17" s="7" t="s">
        <v>183</v>
      </c>
      <c r="K17" s="7" t="s">
        <v>184</v>
      </c>
      <c r="L17" s="7" t="s">
        <v>139</v>
      </c>
      <c r="M17" s="7"/>
      <c r="N17" s="7"/>
      <c r="O17" s="7"/>
      <c r="P17" s="7"/>
      <c r="Q17" s="74"/>
      <c r="R17" s="7"/>
      <c r="S17" s="7"/>
      <c r="T17" s="7"/>
      <c r="U17" s="7"/>
      <c r="V17" s="7"/>
      <c r="W17" s="7"/>
      <c r="X17" s="7"/>
      <c r="Y17" s="7"/>
      <c r="Z17" s="7"/>
    </row>
    <row r="18" spans="1:26" ht="12.75" customHeight="1">
      <c r="A18" s="7" t="s">
        <v>303</v>
      </c>
      <c r="B18" s="74" t="s">
        <v>177</v>
      </c>
      <c r="C18" s="7" t="s">
        <v>304</v>
      </c>
      <c r="D18" s="7" t="s">
        <v>305</v>
      </c>
      <c r="E18" s="7" t="s">
        <v>306</v>
      </c>
      <c r="F18" s="7" t="s">
        <v>139</v>
      </c>
      <c r="G18" s="7" t="s">
        <v>183</v>
      </c>
      <c r="H18" s="7" t="s">
        <v>182</v>
      </c>
      <c r="I18" s="7" t="s">
        <v>139</v>
      </c>
      <c r="J18" s="7" t="s">
        <v>183</v>
      </c>
      <c r="K18" s="7" t="s">
        <v>184</v>
      </c>
      <c r="L18" s="7" t="s">
        <v>139</v>
      </c>
      <c r="M18" s="7"/>
      <c r="N18" s="7"/>
      <c r="O18" s="7"/>
      <c r="P18" s="7"/>
      <c r="Q18" s="7"/>
      <c r="R18" s="7"/>
      <c r="S18" s="7"/>
      <c r="T18" s="7"/>
      <c r="U18" s="7"/>
      <c r="V18" s="7"/>
      <c r="W18" s="7"/>
      <c r="X18" s="7"/>
      <c r="Y18" s="7"/>
      <c r="Z18" s="7"/>
    </row>
    <row r="19" spans="1:26" ht="12.75" customHeight="1">
      <c r="A19" s="7" t="s">
        <v>148</v>
      </c>
      <c r="B19" s="74"/>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t="s">
        <v>307</v>
      </c>
      <c r="B20" s="74" t="s">
        <v>308</v>
      </c>
      <c r="C20" s="7" t="s">
        <v>309</v>
      </c>
      <c r="D20" s="7" t="s">
        <v>310</v>
      </c>
      <c r="E20" s="7" t="s">
        <v>311</v>
      </c>
      <c r="F20" s="7" t="s">
        <v>139</v>
      </c>
      <c r="G20" s="7" t="s">
        <v>183</v>
      </c>
      <c r="H20" s="7" t="s">
        <v>182</v>
      </c>
      <c r="I20" s="7" t="s">
        <v>139</v>
      </c>
      <c r="J20" s="7" t="s">
        <v>183</v>
      </c>
      <c r="K20" s="7" t="s">
        <v>184</v>
      </c>
      <c r="L20" s="7" t="s">
        <v>139</v>
      </c>
      <c r="M20" s="7"/>
      <c r="N20" s="7"/>
      <c r="O20" s="7"/>
      <c r="P20" s="7"/>
      <c r="Q20" s="7"/>
      <c r="R20" s="7"/>
      <c r="S20" s="7"/>
      <c r="T20" s="7"/>
      <c r="U20" s="7"/>
      <c r="V20" s="7"/>
      <c r="W20" s="7"/>
      <c r="X20" s="7"/>
      <c r="Y20" s="7"/>
      <c r="Z20" s="7"/>
    </row>
    <row r="21" spans="1:26" ht="12.75" customHeight="1">
      <c r="A21" s="7" t="s">
        <v>312</v>
      </c>
      <c r="B21" s="7" t="s">
        <v>313</v>
      </c>
      <c r="C21" s="7" t="s">
        <v>314</v>
      </c>
      <c r="D21" s="7" t="s">
        <v>315</v>
      </c>
      <c r="E21" s="7" t="s">
        <v>276</v>
      </c>
      <c r="F21" s="7" t="s">
        <v>139</v>
      </c>
      <c r="G21" s="7" t="s">
        <v>183</v>
      </c>
      <c r="H21" s="7" t="s">
        <v>182</v>
      </c>
      <c r="I21" s="7" t="s">
        <v>139</v>
      </c>
      <c r="J21" s="7" t="s">
        <v>183</v>
      </c>
      <c r="K21" s="7" t="s">
        <v>184</v>
      </c>
      <c r="L21" s="7" t="s">
        <v>139</v>
      </c>
      <c r="M21" s="7"/>
      <c r="N21" s="7"/>
      <c r="O21" s="7"/>
      <c r="P21" s="7"/>
      <c r="Q21" s="74"/>
      <c r="R21" s="7"/>
      <c r="S21" s="7"/>
      <c r="T21" s="7"/>
      <c r="U21" s="7"/>
      <c r="V21" s="7"/>
      <c r="W21" s="7"/>
      <c r="X21" s="7"/>
      <c r="Y21" s="7"/>
      <c r="Z21" s="7"/>
    </row>
    <row r="22" spans="1:26" ht="12.75" customHeight="1">
      <c r="A22" s="7" t="s">
        <v>316</v>
      </c>
      <c r="B22" s="7" t="s">
        <v>317</v>
      </c>
      <c r="C22" s="7" t="s">
        <v>318</v>
      </c>
      <c r="D22" s="7" t="s">
        <v>319</v>
      </c>
      <c r="E22" s="7" t="s">
        <v>320</v>
      </c>
      <c r="F22" s="7" t="s">
        <v>139</v>
      </c>
      <c r="G22" s="7" t="s">
        <v>183</v>
      </c>
      <c r="H22" s="7" t="s">
        <v>182</v>
      </c>
      <c r="I22" s="7" t="s">
        <v>139</v>
      </c>
      <c r="J22" s="7" t="s">
        <v>183</v>
      </c>
      <c r="K22" s="7" t="s">
        <v>184</v>
      </c>
      <c r="L22" s="7" t="s">
        <v>139</v>
      </c>
      <c r="M22" s="7"/>
      <c r="N22" s="7"/>
      <c r="O22" s="7"/>
      <c r="P22" s="7"/>
      <c r="Q22" s="74"/>
      <c r="R22" s="7"/>
      <c r="S22" s="7"/>
      <c r="T22" s="7"/>
      <c r="U22" s="7"/>
      <c r="V22" s="7"/>
      <c r="W22" s="7"/>
      <c r="X22" s="7"/>
      <c r="Y22" s="7"/>
      <c r="Z22" s="7"/>
    </row>
    <row r="23" spans="1:26" ht="12.75" customHeight="1">
      <c r="A23" s="7" t="s">
        <v>321</v>
      </c>
      <c r="B23" s="7" t="s">
        <v>322</v>
      </c>
      <c r="C23" s="7" t="s">
        <v>323</v>
      </c>
      <c r="D23" s="7" t="s">
        <v>324</v>
      </c>
      <c r="E23" s="7" t="s">
        <v>325</v>
      </c>
      <c r="F23" s="7" t="s">
        <v>139</v>
      </c>
      <c r="G23" s="7" t="s">
        <v>183</v>
      </c>
      <c r="H23" s="7" t="s">
        <v>182</v>
      </c>
      <c r="I23" s="7" t="s">
        <v>139</v>
      </c>
      <c r="J23" s="7" t="s">
        <v>183</v>
      </c>
      <c r="K23" s="7" t="s">
        <v>184</v>
      </c>
      <c r="L23" s="7" t="s">
        <v>139</v>
      </c>
      <c r="M23" s="7"/>
      <c r="N23" s="7"/>
      <c r="O23" s="7"/>
      <c r="P23" s="7"/>
      <c r="Q23" s="74"/>
      <c r="R23" s="7"/>
      <c r="S23" s="7"/>
      <c r="T23" s="7"/>
      <c r="U23" s="7"/>
      <c r="V23" s="7"/>
      <c r="W23" s="7"/>
      <c r="X23" s="7"/>
      <c r="Y23" s="7"/>
      <c r="Z23" s="7"/>
    </row>
    <row r="24" spans="1:26" ht="12.75" customHeight="1">
      <c r="A24" s="7" t="s">
        <v>326</v>
      </c>
      <c r="B24" s="7" t="s">
        <v>327</v>
      </c>
      <c r="C24" s="7" t="s">
        <v>328</v>
      </c>
      <c r="D24" s="7" t="s">
        <v>329</v>
      </c>
      <c r="E24" s="7" t="s">
        <v>325</v>
      </c>
      <c r="F24" s="7" t="s">
        <v>139</v>
      </c>
      <c r="G24" s="7" t="s">
        <v>183</v>
      </c>
      <c r="H24" s="7" t="s">
        <v>182</v>
      </c>
      <c r="I24" s="7" t="s">
        <v>139</v>
      </c>
      <c r="J24" s="7" t="s">
        <v>183</v>
      </c>
      <c r="K24" s="7" t="s">
        <v>184</v>
      </c>
      <c r="L24" s="7" t="s">
        <v>139</v>
      </c>
      <c r="M24" s="7"/>
      <c r="N24" s="7"/>
      <c r="O24" s="7"/>
      <c r="P24" s="7"/>
      <c r="Q24" s="74"/>
      <c r="R24" s="7"/>
      <c r="S24" s="7"/>
      <c r="T24" s="7"/>
      <c r="U24" s="7"/>
      <c r="V24" s="7"/>
      <c r="W24" s="7"/>
      <c r="X24" s="7"/>
      <c r="Y24" s="7"/>
      <c r="Z24" s="7"/>
    </row>
    <row r="25" spans="1:26" ht="12.75" customHeight="1">
      <c r="A25" s="7" t="s">
        <v>330</v>
      </c>
      <c r="B25" s="7"/>
      <c r="C25" s="7"/>
      <c r="D25" s="7"/>
      <c r="E25" s="7"/>
      <c r="F25" s="7"/>
      <c r="G25" s="7"/>
      <c r="H25" s="7"/>
      <c r="I25" s="7"/>
      <c r="J25" s="7"/>
      <c r="K25" s="7"/>
      <c r="L25" s="7"/>
      <c r="M25" s="7"/>
      <c r="N25" s="7"/>
      <c r="O25" s="7"/>
      <c r="P25" s="7"/>
      <c r="Q25" s="74"/>
      <c r="R25" s="7"/>
      <c r="S25" s="7"/>
      <c r="T25" s="7"/>
      <c r="U25" s="7"/>
      <c r="V25" s="7"/>
      <c r="W25" s="7"/>
      <c r="X25" s="7"/>
      <c r="Y25" s="7"/>
      <c r="Z25" s="7"/>
    </row>
    <row r="26" spans="1:26" ht="12.75" customHeight="1">
      <c r="A26" s="7" t="s">
        <v>331</v>
      </c>
      <c r="B26" s="7" t="s">
        <v>332</v>
      </c>
      <c r="C26" s="7" t="s">
        <v>333</v>
      </c>
      <c r="D26" s="7" t="s">
        <v>334</v>
      </c>
      <c r="E26" s="7" t="s">
        <v>335</v>
      </c>
      <c r="F26" s="7" t="s">
        <v>139</v>
      </c>
      <c r="G26" s="7" t="s">
        <v>183</v>
      </c>
      <c r="H26" s="7" t="s">
        <v>182</v>
      </c>
      <c r="I26" s="7" t="s">
        <v>139</v>
      </c>
      <c r="J26" s="7" t="s">
        <v>183</v>
      </c>
      <c r="K26" s="7" t="s">
        <v>184</v>
      </c>
      <c r="L26" s="7" t="s">
        <v>139</v>
      </c>
      <c r="M26" s="7"/>
      <c r="N26" s="7"/>
      <c r="O26" s="7"/>
      <c r="P26" s="7"/>
      <c r="Q26" s="74"/>
      <c r="R26" s="7"/>
      <c r="S26" s="7"/>
      <c r="T26" s="7"/>
      <c r="U26" s="7"/>
      <c r="V26" s="7"/>
      <c r="W26" s="7"/>
      <c r="X26" s="7"/>
      <c r="Y26" s="7"/>
      <c r="Z26" s="7"/>
    </row>
    <row r="27" spans="1:26" ht="12.75" customHeight="1">
      <c r="A27" s="7" t="s">
        <v>336</v>
      </c>
      <c r="B27" s="7" t="s">
        <v>337</v>
      </c>
      <c r="C27" s="7" t="s">
        <v>338</v>
      </c>
      <c r="D27" s="7" t="s">
        <v>339</v>
      </c>
      <c r="E27" s="7" t="s">
        <v>340</v>
      </c>
      <c r="F27" s="7" t="s">
        <v>139</v>
      </c>
      <c r="G27" s="7" t="s">
        <v>183</v>
      </c>
      <c r="H27" s="7" t="s">
        <v>182</v>
      </c>
      <c r="I27" s="7" t="s">
        <v>139</v>
      </c>
      <c r="J27" s="7" t="s">
        <v>183</v>
      </c>
      <c r="K27" s="7" t="s">
        <v>184</v>
      </c>
      <c r="L27" s="7" t="s">
        <v>139</v>
      </c>
      <c r="M27" s="7"/>
      <c r="N27" s="7"/>
      <c r="O27" s="7"/>
      <c r="P27" s="7"/>
      <c r="Q27" s="74"/>
      <c r="R27" s="7"/>
      <c r="S27" s="7"/>
      <c r="T27" s="7"/>
      <c r="U27" s="7"/>
      <c r="V27" s="7"/>
      <c r="W27" s="7"/>
      <c r="X27" s="7"/>
      <c r="Y27" s="7"/>
      <c r="Z27" s="7"/>
    </row>
    <row r="28" spans="1:26" ht="12.75" customHeight="1">
      <c r="A28" s="7" t="s">
        <v>341</v>
      </c>
      <c r="B28" s="7" t="s">
        <v>342</v>
      </c>
      <c r="C28" s="7" t="s">
        <v>343</v>
      </c>
      <c r="D28" s="7" t="s">
        <v>344</v>
      </c>
      <c r="E28" s="7" t="s">
        <v>345</v>
      </c>
      <c r="F28" s="7" t="s">
        <v>139</v>
      </c>
      <c r="G28" s="7" t="s">
        <v>183</v>
      </c>
      <c r="H28" s="7" t="s">
        <v>182</v>
      </c>
      <c r="I28" s="7" t="s">
        <v>139</v>
      </c>
      <c r="J28" s="7" t="s">
        <v>183</v>
      </c>
      <c r="K28" s="7" t="s">
        <v>184</v>
      </c>
      <c r="L28" s="7" t="s">
        <v>139</v>
      </c>
      <c r="M28" s="7"/>
      <c r="N28" s="7"/>
      <c r="O28" s="7"/>
      <c r="P28" s="7"/>
      <c r="Q28" s="74"/>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4"/>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4"/>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4"/>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4"/>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4"/>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4"/>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4"/>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4"/>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4"/>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4"/>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4"/>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4"/>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4"/>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4"/>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4"/>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4"/>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4"/>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4"/>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4"/>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4"/>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4"/>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4"/>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4"/>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4"/>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4"/>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4"/>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4"/>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4"/>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4"/>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4"/>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4"/>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4"/>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4"/>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4"/>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4"/>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4"/>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4"/>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4"/>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4"/>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4"/>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4"/>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4"/>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4"/>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4"/>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4"/>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4"/>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4"/>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4"/>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4"/>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4"/>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4"/>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4"/>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4"/>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4"/>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4"/>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4"/>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4"/>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4"/>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4"/>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4"/>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4"/>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4"/>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4"/>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4"/>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4"/>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4"/>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4"/>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4"/>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4"/>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4"/>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4"/>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4"/>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4"/>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4"/>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4"/>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4"/>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4"/>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4"/>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4"/>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4"/>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4"/>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4"/>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4"/>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4"/>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4"/>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4"/>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4"/>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4"/>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4"/>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4"/>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4"/>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4"/>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4"/>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4"/>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4"/>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4"/>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4"/>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4"/>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4"/>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4"/>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4"/>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4"/>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4"/>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4"/>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4"/>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4"/>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4"/>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4"/>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4"/>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4"/>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4"/>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4"/>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4"/>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4"/>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4"/>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4"/>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4"/>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4"/>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4"/>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4"/>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4"/>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4"/>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4"/>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4"/>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4"/>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4"/>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4"/>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4"/>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4"/>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4"/>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4"/>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4"/>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4"/>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4"/>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4"/>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4"/>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4"/>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4"/>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4"/>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4"/>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4"/>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4"/>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4"/>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4"/>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4"/>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4"/>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4"/>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4"/>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4"/>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4"/>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4"/>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4"/>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4"/>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4"/>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4"/>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4"/>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4"/>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4"/>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4"/>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4"/>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4"/>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4"/>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4"/>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4"/>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4"/>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4"/>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4"/>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4"/>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4"/>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4"/>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4"/>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4"/>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4"/>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4"/>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4"/>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4"/>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4"/>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4"/>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4"/>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4"/>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4"/>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4"/>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4"/>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4"/>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4"/>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4"/>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4"/>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4"/>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4"/>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4"/>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4"/>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4"/>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4"/>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4"/>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4"/>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4"/>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4"/>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4"/>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4"/>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4"/>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4"/>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4"/>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4"/>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4"/>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4"/>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4"/>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4"/>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4"/>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4"/>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4"/>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4"/>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4"/>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4"/>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4"/>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4"/>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4"/>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4"/>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4"/>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4"/>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4"/>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4"/>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4"/>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4"/>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4"/>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4"/>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4"/>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4"/>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4"/>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4"/>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4"/>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4"/>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4"/>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4"/>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4"/>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4"/>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4"/>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4"/>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4"/>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4"/>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4"/>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4"/>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4"/>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4"/>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4"/>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4"/>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4"/>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4"/>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4"/>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4"/>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4"/>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4"/>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4"/>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4"/>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4"/>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4"/>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4"/>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4"/>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4"/>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4"/>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4"/>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4"/>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4"/>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4"/>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4"/>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4"/>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4"/>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4"/>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4"/>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4"/>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4"/>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4"/>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4"/>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4"/>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4"/>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4"/>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4"/>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4"/>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4"/>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4"/>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4"/>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4"/>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4"/>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4"/>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4"/>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4"/>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4"/>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4"/>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4"/>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4"/>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4"/>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4"/>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4"/>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4"/>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4"/>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4"/>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4"/>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4"/>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4"/>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4"/>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4"/>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4"/>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4"/>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4"/>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4"/>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4"/>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4"/>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4"/>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4"/>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4"/>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4"/>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4"/>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4"/>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4"/>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4"/>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4"/>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4"/>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4"/>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4"/>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4"/>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4"/>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4"/>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4"/>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4"/>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4"/>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4"/>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4"/>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4"/>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4"/>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4"/>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4"/>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4"/>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4"/>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4"/>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4"/>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4"/>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4"/>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4"/>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4"/>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4"/>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4"/>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4"/>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4"/>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4"/>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4"/>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4"/>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4"/>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4"/>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4"/>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4"/>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4"/>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4"/>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4"/>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4"/>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4"/>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4"/>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4"/>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4"/>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4"/>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4"/>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4"/>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4"/>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4"/>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4"/>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4"/>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4"/>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4"/>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4"/>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4"/>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4"/>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4"/>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4"/>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4"/>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4"/>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4"/>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4"/>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4"/>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4"/>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4"/>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4"/>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4"/>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4"/>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4"/>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4"/>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4"/>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4"/>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4"/>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4"/>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4"/>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4"/>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4"/>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4"/>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4"/>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4"/>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4"/>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4"/>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4"/>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4"/>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4"/>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4"/>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4"/>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4"/>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4"/>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4"/>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4"/>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4"/>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4"/>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4"/>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4"/>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4"/>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4"/>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4"/>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4"/>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4"/>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4"/>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4"/>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4"/>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4"/>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4"/>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4"/>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4"/>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4"/>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4"/>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4"/>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4"/>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4"/>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4"/>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4"/>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4"/>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4"/>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4"/>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4"/>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4"/>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4"/>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4"/>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4"/>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4"/>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4"/>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4"/>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4"/>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4"/>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4"/>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4"/>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4"/>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4"/>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4"/>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4"/>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4"/>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4"/>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4"/>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4"/>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4"/>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4"/>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4"/>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4"/>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4"/>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4"/>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4"/>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4"/>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4"/>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4"/>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4"/>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4"/>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4"/>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4"/>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4"/>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4"/>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4"/>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4"/>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4"/>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4"/>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4"/>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4"/>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4"/>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4"/>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4"/>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4"/>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4"/>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4"/>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4"/>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4"/>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4"/>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4"/>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4"/>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4"/>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4"/>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4"/>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4"/>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4"/>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4"/>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4"/>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4"/>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4"/>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4"/>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4"/>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4"/>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4"/>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4"/>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4"/>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4"/>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4"/>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4"/>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4"/>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4"/>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4"/>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4"/>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4"/>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4"/>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4"/>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4"/>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4"/>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4"/>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4"/>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4"/>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4"/>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4"/>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4"/>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4"/>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4"/>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4"/>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4"/>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4"/>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4"/>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4"/>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4"/>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4"/>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4"/>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4"/>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4"/>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4"/>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4"/>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4"/>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4"/>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4"/>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4"/>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4"/>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4"/>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4"/>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4"/>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4"/>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4"/>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4"/>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4"/>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4"/>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4"/>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4"/>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4"/>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4"/>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4"/>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4"/>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4"/>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4"/>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4"/>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4"/>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4"/>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4"/>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4"/>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4"/>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4"/>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4"/>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4"/>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4"/>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4"/>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4"/>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4"/>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4"/>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4"/>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4"/>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4"/>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4"/>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4"/>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4"/>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4"/>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4"/>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4"/>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4"/>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4"/>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4"/>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4"/>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4"/>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4"/>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4"/>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4"/>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4"/>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4"/>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4"/>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4"/>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4"/>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4"/>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4"/>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4"/>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4"/>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4"/>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4"/>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4"/>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4"/>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4"/>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4"/>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4"/>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4"/>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4"/>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4"/>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4"/>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4"/>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4"/>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4"/>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4"/>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4"/>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4"/>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4"/>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4"/>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4"/>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4"/>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4"/>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4"/>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4"/>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4"/>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4"/>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4"/>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4"/>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4"/>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4"/>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4"/>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4"/>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4"/>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4"/>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4"/>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4"/>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4"/>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4"/>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4"/>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4"/>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4"/>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4"/>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4"/>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4"/>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4"/>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4"/>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4"/>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4"/>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4"/>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4"/>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4"/>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4"/>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4"/>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4"/>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4"/>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4"/>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4"/>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4"/>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4"/>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4"/>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4"/>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4"/>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4"/>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4"/>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4"/>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4"/>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4"/>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4"/>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4"/>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4"/>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4"/>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4"/>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4"/>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4"/>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4"/>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4"/>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4"/>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4"/>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4"/>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4"/>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4"/>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4"/>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4"/>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4"/>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4"/>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4"/>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4"/>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4"/>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4"/>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4"/>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4"/>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4"/>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4"/>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4"/>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4"/>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4"/>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4"/>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4"/>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4"/>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4"/>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4"/>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4"/>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4"/>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4"/>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4"/>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4"/>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4"/>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4"/>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4"/>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4"/>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4"/>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4"/>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4"/>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4"/>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4"/>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4"/>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4"/>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4"/>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4"/>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4"/>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4"/>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4"/>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4"/>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4"/>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4"/>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4"/>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4"/>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4"/>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4"/>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4"/>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4"/>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4"/>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4"/>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4"/>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4"/>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4"/>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4"/>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4"/>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4"/>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4"/>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4"/>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4"/>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4"/>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4"/>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4"/>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4"/>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4"/>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4"/>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4"/>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4"/>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4"/>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4"/>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4"/>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4"/>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4"/>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4"/>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4"/>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4"/>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4"/>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4"/>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4"/>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4"/>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4"/>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4"/>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4"/>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4"/>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4"/>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4"/>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4"/>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4"/>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4"/>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4"/>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4"/>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4"/>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4"/>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4"/>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4"/>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4"/>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4"/>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4"/>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4"/>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4"/>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4"/>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4"/>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4"/>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4"/>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4"/>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4"/>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4"/>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4"/>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4"/>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4"/>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4"/>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4"/>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4"/>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4"/>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4"/>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4"/>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4"/>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4"/>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4"/>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4"/>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4"/>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4"/>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4"/>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4"/>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4"/>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4"/>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4"/>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4"/>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4"/>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4"/>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4"/>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4"/>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4"/>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4"/>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4"/>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4"/>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4"/>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4"/>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4"/>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4"/>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4"/>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4"/>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4"/>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4"/>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4"/>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4"/>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4"/>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4"/>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4"/>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4"/>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4"/>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4"/>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4"/>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4"/>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4"/>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4"/>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4"/>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4"/>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4"/>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4"/>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4"/>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4"/>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4"/>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4"/>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4"/>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4"/>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4"/>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4"/>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4"/>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4"/>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4"/>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4"/>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4"/>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4"/>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4"/>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4"/>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4"/>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4"/>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4"/>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4"/>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4"/>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4"/>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4"/>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4"/>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4"/>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4"/>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4"/>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4"/>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4"/>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4"/>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4"/>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4"/>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4"/>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4"/>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4"/>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4"/>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4"/>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4"/>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4"/>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4"/>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4"/>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4"/>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4"/>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4"/>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4"/>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4"/>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4"/>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4"/>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4"/>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4"/>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4"/>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4"/>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4"/>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4"/>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4"/>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4"/>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4"/>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4"/>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4"/>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4"/>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4"/>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4"/>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4"/>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4"/>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4"/>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4"/>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4"/>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4"/>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4"/>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4"/>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4"/>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4"/>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4"/>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4"/>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4"/>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4"/>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4"/>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4"/>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4"/>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4"/>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4"/>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4"/>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4"/>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4"/>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4"/>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4"/>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4"/>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4"/>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4"/>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4"/>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4"/>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4"/>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4"/>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4"/>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4"/>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4"/>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4"/>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4"/>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4"/>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4"/>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4"/>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4"/>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4"/>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4"/>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4"/>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4"/>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4"/>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4"/>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4"/>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4"/>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4"/>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4"/>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4"/>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4"/>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4"/>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4"/>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4"/>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4"/>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4"/>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4"/>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4"/>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4"/>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4"/>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4"/>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4"/>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4"/>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4"/>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4"/>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4"/>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4"/>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4"/>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4"/>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4"/>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4"/>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4"/>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4"/>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4"/>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4"/>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4"/>
      <c r="R1000" s="7"/>
      <c r="S1000" s="7"/>
      <c r="T1000" s="7"/>
      <c r="U1000" s="7"/>
      <c r="V1000" s="7"/>
      <c r="W1000" s="7"/>
      <c r="X1000" s="7"/>
      <c r="Y1000" s="7"/>
      <c r="Z1000" s="7"/>
    </row>
  </sheetData>
  <mergeCells count="3">
    <mergeCell ref="B2:E2"/>
    <mergeCell ref="B3:E3"/>
    <mergeCell ref="B4:E4"/>
  </mergeCells>
  <dataValidations count="15">
    <dataValidation type="list" allowBlank="1" showErrorMessage="1" sqref="F12:F17">
      <formula1>$R$2:$R$5</formula1>
    </dataValidation>
    <dataValidation type="list" allowBlank="1" showErrorMessage="1" sqref="G100:G145">
      <formula1>$R$2:$R$5</formula1>
    </dataValidation>
    <dataValidation type="list" allowBlank="1" showErrorMessage="1" sqref="G2:G3">
      <formula1>$R$2:$R$5</formula1>
    </dataValidation>
    <dataValidation type="list" allowBlank="1" showErrorMessage="1" sqref="G21:G145">
      <formula1>$R$2:$R$5</formula1>
    </dataValidation>
    <dataValidation type="list" allowBlank="1" showErrorMessage="1" sqref="G9">
      <formula1>$R$2:$R$5</formula1>
    </dataValidation>
    <dataValidation type="list" allowBlank="1" showErrorMessage="1" sqref="I12:I17">
      <formula1>$R$2:$R$5</formula1>
    </dataValidation>
    <dataValidation type="list" allowBlank="1" showErrorMessage="1" sqref="J100:J145">
      <formula1>$R$2:$R$5</formula1>
    </dataValidation>
    <dataValidation type="list" allowBlank="1" showErrorMessage="1" sqref="J2:J3">
      <formula1>$R$2:$R$5</formula1>
    </dataValidation>
    <dataValidation type="list" allowBlank="1" showErrorMessage="1" sqref="J21:J145">
      <formula1>$R$2:$R$5</formula1>
    </dataValidation>
    <dataValidation type="list" allowBlank="1" showErrorMessage="1" sqref="J9">
      <formula1>$R$2:$R$5</formula1>
    </dataValidation>
    <dataValidation type="list" allowBlank="1" showErrorMessage="1" sqref="L12:L17">
      <formula1>$R$2:$R$5</formula1>
    </dataValidation>
    <dataValidation type="list" allowBlank="1" showErrorMessage="1" sqref="M100:M145">
      <formula1>$R$2:$R$5</formula1>
    </dataValidation>
    <dataValidation type="list" allowBlank="1" showErrorMessage="1" sqref="M2:M3">
      <formula1>$R$2:$R$5</formula1>
    </dataValidation>
    <dataValidation type="list" allowBlank="1" showErrorMessage="1" sqref="M21:M145">
      <formula1>$R$2:$R$5</formula1>
    </dataValidation>
    <dataValidation type="list" allowBlank="1" showErrorMessage="1" sqref="M9">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zoomScaleNormal="100" workbookViewId="0">
      <pane ySplit="10" topLeftCell="A23" activePane="bottomLeft" state="frozen"/>
      <selection pane="bottomLeft" activeCell="B12" sqref="B12"/>
    </sheetView>
  </sheetViews>
  <sheetFormatPr defaultColWidth="12.6640625" defaultRowHeight="14.4" outlineLevelRow="1" outlineLevelCol="1"/>
  <cols>
    <col min="1" max="1" width="17" customWidth="1"/>
    <col min="2" max="2" width="34.44140625" customWidth="1"/>
    <col min="3" max="3" width="33.33203125" customWidth="1"/>
    <col min="4" max="4" width="34.6640625" customWidth="1"/>
    <col min="5" max="5" width="30.33203125" customWidth="1"/>
    <col min="6" max="6" width="11" customWidth="1"/>
    <col min="7" max="7" width="10.6640625" customWidth="1" outlineLevel="1" collapsed="1"/>
    <col min="8" max="8" width="10.109375" customWidth="1" outlineLevel="1" collapsed="1"/>
    <col min="9" max="9" width="9.33203125" customWidth="1"/>
    <col min="10" max="10" width="10.6640625" customWidth="1" outlineLevel="1" collapsed="1"/>
    <col min="11" max="11" width="10.44140625" customWidth="1" outlineLevel="1" collapsed="1"/>
    <col min="12" max="12" width="9.33203125" customWidth="1"/>
    <col min="13" max="13" width="10.6640625" customWidth="1" outlineLevel="1" collapsed="1"/>
    <col min="14" max="14" width="9"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74"/>
      <c r="R1" s="7"/>
      <c r="S1" s="7"/>
      <c r="T1" s="7"/>
      <c r="U1" s="7"/>
      <c r="V1" s="7"/>
      <c r="W1" s="7"/>
      <c r="X1" s="7"/>
      <c r="Y1" s="7"/>
      <c r="Z1" s="7"/>
    </row>
    <row r="2" spans="1:26" ht="15" customHeight="1">
      <c r="A2" s="75" t="s">
        <v>159</v>
      </c>
      <c r="B2" s="114" t="s">
        <v>346</v>
      </c>
      <c r="C2" s="115"/>
      <c r="D2" s="115"/>
      <c r="E2" s="116"/>
      <c r="F2" s="76"/>
      <c r="G2" s="77"/>
      <c r="H2" s="37"/>
      <c r="I2" s="76"/>
      <c r="J2" s="77"/>
      <c r="K2" s="37"/>
      <c r="L2" s="76"/>
      <c r="M2" s="77"/>
      <c r="N2" s="37"/>
      <c r="O2" s="37"/>
      <c r="P2" s="37"/>
      <c r="Q2" s="78"/>
      <c r="R2" s="79" t="s">
        <v>139</v>
      </c>
      <c r="S2" s="79"/>
      <c r="T2" s="79"/>
      <c r="U2" s="79"/>
      <c r="V2" s="79"/>
      <c r="W2" s="79"/>
      <c r="X2" s="79"/>
      <c r="Y2" s="79"/>
      <c r="Z2" s="79"/>
    </row>
    <row r="3" spans="1:26" ht="45" customHeight="1">
      <c r="A3" s="80" t="s">
        <v>161</v>
      </c>
      <c r="B3" s="117" t="s">
        <v>347</v>
      </c>
      <c r="C3" s="102"/>
      <c r="D3" s="102"/>
      <c r="E3" s="118"/>
      <c r="F3" s="76"/>
      <c r="G3" s="77"/>
      <c r="H3" s="37"/>
      <c r="I3" s="76"/>
      <c r="J3" s="77"/>
      <c r="K3" s="37"/>
      <c r="L3" s="76"/>
      <c r="M3" s="77"/>
      <c r="N3" s="37"/>
      <c r="O3" s="37"/>
      <c r="P3" s="37"/>
      <c r="Q3" s="78"/>
      <c r="R3" s="79" t="s">
        <v>140</v>
      </c>
      <c r="S3" s="79"/>
      <c r="T3" s="79"/>
      <c r="U3" s="79"/>
      <c r="V3" s="79"/>
      <c r="W3" s="79"/>
      <c r="X3" s="79"/>
      <c r="Y3" s="79"/>
      <c r="Z3" s="79"/>
    </row>
    <row r="4" spans="1:26" ht="18" customHeight="1">
      <c r="A4" s="80" t="s">
        <v>163</v>
      </c>
      <c r="B4" s="117">
        <v>15</v>
      </c>
      <c r="C4" s="102"/>
      <c r="D4" s="102"/>
      <c r="E4" s="118"/>
      <c r="F4" s="76"/>
      <c r="G4" s="77"/>
      <c r="H4" s="37"/>
      <c r="I4" s="76"/>
      <c r="J4" s="77"/>
      <c r="K4" s="37"/>
      <c r="L4" s="76"/>
      <c r="M4" s="77"/>
      <c r="N4" s="37"/>
      <c r="O4" s="37"/>
      <c r="P4" s="37"/>
      <c r="Q4" s="78"/>
      <c r="R4" s="79" t="s">
        <v>141</v>
      </c>
      <c r="S4" s="79"/>
      <c r="T4" s="79"/>
      <c r="U4" s="79"/>
      <c r="V4" s="79"/>
      <c r="W4" s="79"/>
      <c r="X4" s="79"/>
      <c r="Y4" s="79"/>
      <c r="Z4" s="79"/>
    </row>
    <row r="5" spans="1:26" ht="19.5" customHeight="1">
      <c r="A5" s="81" t="s">
        <v>164</v>
      </c>
      <c r="B5" s="82" t="s">
        <v>139</v>
      </c>
      <c r="C5" s="82" t="s">
        <v>140</v>
      </c>
      <c r="D5" s="82" t="s">
        <v>141</v>
      </c>
      <c r="E5" s="83" t="s">
        <v>142</v>
      </c>
      <c r="F5" s="84"/>
      <c r="G5" s="84"/>
      <c r="H5" s="85"/>
      <c r="I5" s="84"/>
      <c r="J5" s="84"/>
      <c r="K5" s="85"/>
      <c r="L5" s="84"/>
      <c r="M5" s="84"/>
      <c r="N5" s="85"/>
      <c r="O5" s="85"/>
      <c r="P5" s="85"/>
      <c r="Q5" s="86"/>
      <c r="R5" s="79" t="s">
        <v>142</v>
      </c>
      <c r="S5" s="79"/>
      <c r="T5" s="79"/>
      <c r="U5" s="79"/>
      <c r="V5" s="79"/>
      <c r="W5" s="79"/>
      <c r="X5" s="79"/>
      <c r="Y5" s="79"/>
      <c r="Z5" s="79"/>
    </row>
    <row r="6" spans="1:26" ht="15" customHeight="1">
      <c r="A6" s="81" t="s">
        <v>165</v>
      </c>
      <c r="B6" s="7">
        <f t="shared" ref="B6:E8" si="0">COUNTIF($F$11:$F$39,B$5)</f>
        <v>15</v>
      </c>
      <c r="C6" s="7">
        <f t="shared" si="0"/>
        <v>0</v>
      </c>
      <c r="D6" s="7">
        <f t="shared" si="0"/>
        <v>0</v>
      </c>
      <c r="E6" s="88">
        <f t="shared" si="0"/>
        <v>0</v>
      </c>
      <c r="F6" s="89"/>
      <c r="G6" s="89"/>
      <c r="H6" s="85"/>
      <c r="I6" s="89"/>
      <c r="J6" s="89"/>
      <c r="K6" s="85"/>
      <c r="L6" s="89"/>
      <c r="M6" s="89"/>
      <c r="N6" s="85"/>
      <c r="O6" s="85"/>
      <c r="P6" s="85"/>
      <c r="Q6" s="86"/>
      <c r="R6" s="79"/>
      <c r="S6" s="79"/>
      <c r="T6" s="79"/>
      <c r="U6" s="79"/>
      <c r="V6" s="79"/>
      <c r="W6" s="79"/>
      <c r="X6" s="79"/>
      <c r="Y6" s="79"/>
      <c r="Z6" s="79"/>
    </row>
    <row r="7" spans="1:26" ht="15" customHeight="1">
      <c r="A7" s="81" t="s">
        <v>166</v>
      </c>
      <c r="B7" s="7">
        <f t="shared" si="0"/>
        <v>15</v>
      </c>
      <c r="C7" s="7">
        <f t="shared" si="0"/>
        <v>0</v>
      </c>
      <c r="D7" s="7">
        <f t="shared" si="0"/>
        <v>0</v>
      </c>
      <c r="E7" s="88">
        <f t="shared" si="0"/>
        <v>0</v>
      </c>
      <c r="F7" s="89"/>
      <c r="G7" s="89"/>
      <c r="H7" s="85"/>
      <c r="I7" s="89"/>
      <c r="J7" s="89"/>
      <c r="K7" s="85"/>
      <c r="L7" s="89"/>
      <c r="M7" s="89"/>
      <c r="N7" s="85"/>
      <c r="O7" s="85"/>
      <c r="P7" s="85"/>
      <c r="Q7" s="86"/>
      <c r="R7" s="79"/>
      <c r="S7" s="79"/>
      <c r="T7" s="79"/>
      <c r="U7" s="79"/>
      <c r="V7" s="79"/>
      <c r="W7" s="79"/>
      <c r="X7" s="79"/>
      <c r="Y7" s="79"/>
      <c r="Z7" s="79"/>
    </row>
    <row r="8" spans="1:26" ht="15" customHeight="1">
      <c r="A8" s="90" t="s">
        <v>167</v>
      </c>
      <c r="B8" s="87">
        <f t="shared" si="0"/>
        <v>15</v>
      </c>
      <c r="C8" s="87">
        <f t="shared" si="0"/>
        <v>0</v>
      </c>
      <c r="D8" s="87">
        <f t="shared" si="0"/>
        <v>0</v>
      </c>
      <c r="E8" s="91">
        <f t="shared" si="0"/>
        <v>0</v>
      </c>
      <c r="F8" s="89"/>
      <c r="G8" s="89"/>
      <c r="H8" s="85"/>
      <c r="I8" s="89"/>
      <c r="J8" s="89"/>
      <c r="K8" s="85"/>
      <c r="L8" s="89"/>
      <c r="M8" s="89"/>
      <c r="N8" s="85"/>
      <c r="O8" s="85"/>
      <c r="P8" s="85"/>
      <c r="Q8" s="86"/>
      <c r="R8" s="79"/>
      <c r="S8" s="79"/>
      <c r="T8" s="79"/>
      <c r="U8" s="79"/>
      <c r="V8" s="79"/>
      <c r="W8" s="79"/>
      <c r="X8" s="79"/>
      <c r="Y8" s="79"/>
      <c r="Z8" s="79"/>
    </row>
    <row r="9" spans="1:26" ht="15" customHeight="1">
      <c r="A9" s="85"/>
      <c r="B9" s="85"/>
      <c r="C9" s="85"/>
      <c r="D9" s="85"/>
      <c r="E9" s="85"/>
      <c r="F9" s="92"/>
      <c r="G9" s="85"/>
      <c r="H9" s="85"/>
      <c r="I9" s="92"/>
      <c r="J9" s="85"/>
      <c r="K9" s="85"/>
      <c r="L9" s="92"/>
      <c r="M9" s="85"/>
      <c r="N9" s="85"/>
      <c r="O9" s="85"/>
      <c r="P9" s="85"/>
      <c r="Q9" s="86"/>
      <c r="R9" s="79"/>
      <c r="S9" s="79"/>
      <c r="T9" s="79"/>
      <c r="U9" s="79"/>
      <c r="V9" s="79"/>
      <c r="W9" s="79"/>
      <c r="X9" s="79"/>
      <c r="Y9" s="79"/>
      <c r="Z9" s="79"/>
    </row>
    <row r="10" spans="1:26" ht="25.5" customHeight="1">
      <c r="A10" s="93" t="s">
        <v>168</v>
      </c>
      <c r="B10" s="93" t="s">
        <v>169</v>
      </c>
      <c r="C10" s="93" t="s">
        <v>170</v>
      </c>
      <c r="D10" s="93" t="s">
        <v>171</v>
      </c>
      <c r="E10" s="93" t="s">
        <v>172</v>
      </c>
      <c r="F10" s="93" t="s">
        <v>165</v>
      </c>
      <c r="G10" s="93" t="s">
        <v>173</v>
      </c>
      <c r="H10" s="93" t="s">
        <v>174</v>
      </c>
      <c r="I10" s="93" t="s">
        <v>166</v>
      </c>
      <c r="J10" s="93" t="s">
        <v>173</v>
      </c>
      <c r="K10" s="93" t="s">
        <v>174</v>
      </c>
      <c r="L10" s="93" t="s">
        <v>167</v>
      </c>
      <c r="M10" s="93" t="s">
        <v>173</v>
      </c>
      <c r="N10" s="93" t="s">
        <v>174</v>
      </c>
      <c r="O10" s="93" t="s">
        <v>175</v>
      </c>
      <c r="P10" s="79"/>
      <c r="Q10" s="94"/>
      <c r="R10" s="79"/>
      <c r="S10" s="79"/>
      <c r="T10" s="79"/>
      <c r="U10" s="79"/>
      <c r="V10" s="79"/>
      <c r="W10" s="79"/>
      <c r="X10" s="79"/>
      <c r="Y10" s="79"/>
      <c r="Z10" s="79"/>
    </row>
    <row r="11" spans="1:26" ht="15.75" customHeight="1">
      <c r="A11" s="95" t="s">
        <v>149</v>
      </c>
      <c r="B11" s="95"/>
      <c r="C11" s="96"/>
      <c r="D11" s="96"/>
      <c r="E11" s="96"/>
      <c r="F11" s="96"/>
      <c r="G11" s="96"/>
      <c r="H11" s="96"/>
      <c r="I11" s="96"/>
      <c r="J11" s="96"/>
      <c r="K11" s="96"/>
      <c r="L11" s="96"/>
      <c r="M11" s="96"/>
      <c r="N11" s="96"/>
      <c r="P11" s="79"/>
      <c r="Q11" s="97"/>
      <c r="R11" s="79"/>
      <c r="S11" s="79"/>
      <c r="T11" s="79"/>
      <c r="U11" s="79"/>
      <c r="V11" s="79"/>
      <c r="W11" s="79"/>
      <c r="X11" s="79"/>
      <c r="Y11" s="79"/>
      <c r="Z11" s="79"/>
    </row>
    <row r="12" spans="1:26" ht="84" customHeight="1" outlineLevel="1" collapsed="1">
      <c r="A12" s="7" t="s">
        <v>348</v>
      </c>
      <c r="B12" s="7" t="s">
        <v>349</v>
      </c>
      <c r="C12" s="7" t="s">
        <v>350</v>
      </c>
      <c r="D12" s="74" t="s">
        <v>351</v>
      </c>
      <c r="E12" s="74" t="s">
        <v>352</v>
      </c>
      <c r="F12" s="7" t="s">
        <v>139</v>
      </c>
      <c r="G12" s="7" t="s">
        <v>353</v>
      </c>
      <c r="H12" s="7" t="s">
        <v>182</v>
      </c>
      <c r="I12" s="7" t="s">
        <v>139</v>
      </c>
      <c r="J12" s="7" t="s">
        <v>353</v>
      </c>
      <c r="K12" s="7" t="s">
        <v>184</v>
      </c>
      <c r="L12" s="7" t="s">
        <v>139</v>
      </c>
      <c r="M12" s="7"/>
      <c r="N12" s="7"/>
      <c r="O12" s="7"/>
      <c r="P12" s="98"/>
      <c r="Q12" s="99"/>
      <c r="R12" s="98"/>
      <c r="S12" s="98"/>
      <c r="T12" s="98"/>
      <c r="U12" s="98"/>
      <c r="V12" s="98"/>
      <c r="W12" s="98"/>
      <c r="X12" s="98"/>
      <c r="Y12" s="98"/>
      <c r="Z12" s="98"/>
    </row>
    <row r="13" spans="1:26" ht="84" customHeight="1" outlineLevel="1" collapsed="1">
      <c r="A13" s="7" t="s">
        <v>354</v>
      </c>
      <c r="B13" s="7" t="s">
        <v>355</v>
      </c>
      <c r="C13" s="7" t="s">
        <v>356</v>
      </c>
      <c r="D13" s="7" t="s">
        <v>357</v>
      </c>
      <c r="E13" s="7" t="s">
        <v>358</v>
      </c>
      <c r="F13" s="7" t="s">
        <v>139</v>
      </c>
      <c r="G13" s="7" t="s">
        <v>353</v>
      </c>
      <c r="H13" s="7" t="s">
        <v>182</v>
      </c>
      <c r="I13" s="7" t="s">
        <v>139</v>
      </c>
      <c r="J13" s="7" t="s">
        <v>353</v>
      </c>
      <c r="K13" s="7" t="s">
        <v>184</v>
      </c>
      <c r="L13" s="7" t="s">
        <v>139</v>
      </c>
      <c r="M13" s="7"/>
      <c r="N13" s="7"/>
      <c r="O13" s="7"/>
      <c r="P13" s="7"/>
      <c r="Q13" s="99"/>
      <c r="R13" s="7"/>
      <c r="S13" s="7"/>
      <c r="T13" s="7"/>
      <c r="U13" s="7"/>
      <c r="V13" s="7"/>
      <c r="W13" s="7"/>
      <c r="X13" s="7"/>
      <c r="Y13" s="7"/>
      <c r="Z13" s="7"/>
    </row>
    <row r="14" spans="1:26" ht="15.75" customHeight="1">
      <c r="A14" s="95" t="s">
        <v>359</v>
      </c>
      <c r="B14" s="95" t="s">
        <v>360</v>
      </c>
      <c r="C14" s="96" t="s">
        <v>361</v>
      </c>
      <c r="D14" s="96" t="s">
        <v>362</v>
      </c>
      <c r="E14" s="96" t="s">
        <v>363</v>
      </c>
      <c r="F14" s="96" t="s">
        <v>139</v>
      </c>
      <c r="G14" s="96" t="s">
        <v>364</v>
      </c>
      <c r="H14" s="96" t="s">
        <v>182</v>
      </c>
      <c r="I14" s="96" t="s">
        <v>139</v>
      </c>
      <c r="J14" s="96" t="s">
        <v>353</v>
      </c>
      <c r="K14" s="96" t="s">
        <v>184</v>
      </c>
      <c r="L14" s="96" t="s">
        <v>139</v>
      </c>
      <c r="M14" s="96"/>
      <c r="N14" s="96"/>
      <c r="P14" s="79"/>
      <c r="Q14" s="97"/>
      <c r="R14" s="79"/>
      <c r="S14" s="79"/>
      <c r="T14" s="79"/>
      <c r="U14" s="79"/>
      <c r="V14" s="79"/>
      <c r="W14" s="79"/>
      <c r="X14" s="79"/>
      <c r="Y14" s="79"/>
      <c r="Z14" s="79"/>
    </row>
    <row r="15" spans="1:26" ht="86.25" customHeight="1" outlineLevel="1" collapsed="1">
      <c r="A15" s="7" t="s">
        <v>365</v>
      </c>
      <c r="B15" s="7" t="s">
        <v>366</v>
      </c>
      <c r="C15" s="7" t="s">
        <v>367</v>
      </c>
      <c r="D15" s="7" t="s">
        <v>368</v>
      </c>
      <c r="E15" s="7" t="s">
        <v>369</v>
      </c>
      <c r="F15" s="7" t="s">
        <v>139</v>
      </c>
      <c r="G15" s="7" t="s">
        <v>353</v>
      </c>
      <c r="H15" s="7" t="s">
        <v>182</v>
      </c>
      <c r="I15" s="7" t="s">
        <v>139</v>
      </c>
      <c r="J15" s="7" t="s">
        <v>353</v>
      </c>
      <c r="K15" s="7" t="s">
        <v>184</v>
      </c>
      <c r="L15" s="7" t="s">
        <v>139</v>
      </c>
      <c r="M15" s="7"/>
      <c r="N15" s="7"/>
      <c r="O15" s="7"/>
      <c r="P15" s="7"/>
      <c r="Q15" s="99"/>
      <c r="R15" s="7"/>
      <c r="S15" s="7"/>
      <c r="T15" s="7"/>
      <c r="U15" s="7"/>
      <c r="V15" s="7"/>
      <c r="W15" s="7"/>
      <c r="X15" s="7"/>
      <c r="Y15" s="7"/>
      <c r="Z15" s="7"/>
    </row>
    <row r="16" spans="1:26" ht="66.75" customHeight="1" outlineLevel="1" collapsed="1">
      <c r="A16" s="7" t="s">
        <v>370</v>
      </c>
      <c r="B16" s="7" t="s">
        <v>371</v>
      </c>
      <c r="C16" s="7" t="s">
        <v>372</v>
      </c>
      <c r="D16" s="7" t="s">
        <v>373</v>
      </c>
      <c r="E16" s="7" t="s">
        <v>374</v>
      </c>
      <c r="F16" s="7" t="s">
        <v>139</v>
      </c>
      <c r="G16" s="7" t="s">
        <v>353</v>
      </c>
      <c r="H16" s="7" t="s">
        <v>182</v>
      </c>
      <c r="I16" s="7" t="s">
        <v>139</v>
      </c>
      <c r="J16" s="7" t="s">
        <v>353</v>
      </c>
      <c r="K16" s="7" t="s">
        <v>184</v>
      </c>
      <c r="L16" s="7" t="s">
        <v>139</v>
      </c>
      <c r="M16" s="7"/>
      <c r="N16" s="7"/>
      <c r="O16" s="7"/>
      <c r="P16" s="7"/>
      <c r="Q16" s="74"/>
      <c r="R16" s="7"/>
      <c r="S16" s="7"/>
      <c r="T16" s="7"/>
      <c r="U16" s="7"/>
      <c r="V16" s="7"/>
      <c r="W16" s="7"/>
      <c r="X16" s="7"/>
      <c r="Y16" s="7"/>
      <c r="Z16" s="7"/>
    </row>
    <row r="17" spans="1:26" ht="12.75" customHeight="1">
      <c r="A17" s="95" t="s">
        <v>375</v>
      </c>
      <c r="B17" s="95" t="s">
        <v>376</v>
      </c>
      <c r="C17" s="96" t="s">
        <v>377</v>
      </c>
      <c r="D17" s="96" t="s">
        <v>378</v>
      </c>
      <c r="E17" s="96" t="s">
        <v>379</v>
      </c>
      <c r="F17" s="96" t="s">
        <v>139</v>
      </c>
      <c r="G17" s="96" t="s">
        <v>353</v>
      </c>
      <c r="H17" s="96" t="s">
        <v>182</v>
      </c>
      <c r="I17" s="96" t="s">
        <v>139</v>
      </c>
      <c r="J17" s="96" t="s">
        <v>353</v>
      </c>
      <c r="K17" s="96" t="s">
        <v>184</v>
      </c>
      <c r="L17" s="96" t="s">
        <v>139</v>
      </c>
      <c r="M17" s="96"/>
      <c r="N17" s="96"/>
      <c r="P17" s="7"/>
      <c r="Q17" s="7"/>
      <c r="R17" s="7"/>
      <c r="S17" s="7"/>
      <c r="T17" s="7"/>
      <c r="U17" s="7"/>
      <c r="V17" s="7"/>
      <c r="W17" s="7"/>
      <c r="X17" s="7"/>
      <c r="Y17" s="7"/>
      <c r="Z17" s="7"/>
    </row>
    <row r="18" spans="1:26" ht="12.75" customHeight="1">
      <c r="A18" s="7" t="s">
        <v>150</v>
      </c>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c r="A19" s="7" t="s">
        <v>380</v>
      </c>
      <c r="B19" s="7" t="s">
        <v>381</v>
      </c>
      <c r="C19" s="7" t="s">
        <v>382</v>
      </c>
      <c r="D19" s="7" t="s">
        <v>383</v>
      </c>
      <c r="E19" s="7" t="s">
        <v>384</v>
      </c>
      <c r="F19" s="7" t="s">
        <v>139</v>
      </c>
      <c r="G19" s="7" t="s">
        <v>181</v>
      </c>
      <c r="H19" s="7" t="s">
        <v>182</v>
      </c>
      <c r="I19" s="7" t="s">
        <v>139</v>
      </c>
      <c r="J19" s="7" t="s">
        <v>183</v>
      </c>
      <c r="K19" s="7" t="s">
        <v>184</v>
      </c>
      <c r="L19" s="7" t="s">
        <v>139</v>
      </c>
      <c r="M19" s="7"/>
      <c r="N19" s="7"/>
      <c r="O19" s="7"/>
      <c r="P19" s="7"/>
      <c r="Q19" s="7"/>
      <c r="R19" s="7"/>
      <c r="S19" s="7"/>
      <c r="T19" s="7"/>
      <c r="U19" s="7"/>
      <c r="V19" s="7"/>
      <c r="W19" s="7"/>
      <c r="X19" s="7"/>
      <c r="Y19" s="7"/>
      <c r="Z19" s="7"/>
    </row>
    <row r="20" spans="1:26" ht="12.75" customHeight="1">
      <c r="A20" s="7" t="s">
        <v>385</v>
      </c>
      <c r="B20" s="7" t="s">
        <v>386</v>
      </c>
      <c r="C20" s="7" t="s">
        <v>387</v>
      </c>
      <c r="D20" s="7" t="s">
        <v>388</v>
      </c>
      <c r="E20" s="7" t="s">
        <v>389</v>
      </c>
      <c r="F20" s="7" t="s">
        <v>139</v>
      </c>
      <c r="G20" s="7" t="s">
        <v>353</v>
      </c>
      <c r="H20" s="7" t="s">
        <v>182</v>
      </c>
      <c r="I20" s="7" t="s">
        <v>139</v>
      </c>
      <c r="J20" s="7" t="s">
        <v>353</v>
      </c>
      <c r="K20" s="7" t="s">
        <v>184</v>
      </c>
      <c r="L20" s="7" t="s">
        <v>139</v>
      </c>
      <c r="M20" s="7"/>
      <c r="N20" s="7"/>
      <c r="O20" s="7"/>
      <c r="P20" s="7"/>
      <c r="Q20" s="74"/>
      <c r="R20" s="7"/>
      <c r="S20" s="7"/>
      <c r="T20" s="7"/>
      <c r="U20" s="7"/>
      <c r="V20" s="7"/>
      <c r="W20" s="7"/>
      <c r="X20" s="7"/>
      <c r="Y20" s="7"/>
      <c r="Z20" s="7"/>
    </row>
    <row r="21" spans="1:26" ht="12.75" customHeight="1">
      <c r="A21" s="7" t="s">
        <v>390</v>
      </c>
      <c r="B21" s="7" t="s">
        <v>391</v>
      </c>
      <c r="C21" s="7" t="s">
        <v>392</v>
      </c>
      <c r="D21" s="7" t="s">
        <v>393</v>
      </c>
      <c r="E21" s="7" t="s">
        <v>394</v>
      </c>
      <c r="F21" s="7" t="s">
        <v>139</v>
      </c>
      <c r="G21" s="7" t="s">
        <v>353</v>
      </c>
      <c r="H21" s="7" t="s">
        <v>182</v>
      </c>
      <c r="I21" s="7" t="s">
        <v>139</v>
      </c>
      <c r="J21" s="7" t="s">
        <v>353</v>
      </c>
      <c r="K21" s="7" t="s">
        <v>184</v>
      </c>
      <c r="L21" s="7" t="s">
        <v>139</v>
      </c>
      <c r="M21" s="7"/>
      <c r="N21" s="7"/>
      <c r="O21" s="7"/>
      <c r="P21" s="7"/>
      <c r="Q21" s="74"/>
      <c r="R21" s="7"/>
      <c r="S21" s="7"/>
      <c r="T21" s="7"/>
      <c r="U21" s="7"/>
      <c r="V21" s="7"/>
      <c r="W21" s="7"/>
      <c r="X21" s="7"/>
      <c r="Y21" s="7"/>
      <c r="Z21" s="7"/>
    </row>
    <row r="22" spans="1:26" ht="12.75" customHeight="1">
      <c r="A22" s="7" t="s">
        <v>395</v>
      </c>
      <c r="B22" s="7" t="s">
        <v>396</v>
      </c>
      <c r="C22" s="7" t="s">
        <v>397</v>
      </c>
      <c r="D22" s="7" t="s">
        <v>398</v>
      </c>
      <c r="E22" s="7" t="s">
        <v>399</v>
      </c>
      <c r="F22" s="7" t="s">
        <v>139</v>
      </c>
      <c r="G22" s="7" t="s">
        <v>353</v>
      </c>
      <c r="H22" s="7" t="s">
        <v>182</v>
      </c>
      <c r="I22" s="7" t="s">
        <v>139</v>
      </c>
      <c r="J22" s="7" t="s">
        <v>353</v>
      </c>
      <c r="K22" s="7" t="s">
        <v>184</v>
      </c>
      <c r="L22" s="7" t="s">
        <v>139</v>
      </c>
      <c r="M22" s="7"/>
      <c r="N22" s="7"/>
      <c r="O22" s="7"/>
      <c r="P22" s="7"/>
      <c r="Q22" s="74"/>
      <c r="R22" s="7"/>
      <c r="S22" s="7"/>
      <c r="T22" s="7"/>
      <c r="U22" s="7"/>
      <c r="V22" s="7"/>
      <c r="W22" s="7"/>
      <c r="X22" s="7"/>
      <c r="Y22" s="7"/>
      <c r="Z22" s="7"/>
    </row>
    <row r="23" spans="1:26" ht="12.75" customHeight="1">
      <c r="A23" s="7" t="s">
        <v>400</v>
      </c>
      <c r="B23" s="7" t="s">
        <v>401</v>
      </c>
      <c r="C23" s="7" t="s">
        <v>402</v>
      </c>
      <c r="D23" s="7" t="s">
        <v>403</v>
      </c>
      <c r="E23" s="7" t="s">
        <v>404</v>
      </c>
      <c r="F23" s="7" t="s">
        <v>139</v>
      </c>
      <c r="G23" s="7" t="s">
        <v>353</v>
      </c>
      <c r="H23" s="7" t="s">
        <v>182</v>
      </c>
      <c r="I23" s="7" t="s">
        <v>139</v>
      </c>
      <c r="J23" s="7" t="s">
        <v>353</v>
      </c>
      <c r="K23" s="7" t="s">
        <v>184</v>
      </c>
      <c r="L23" s="7" t="s">
        <v>139</v>
      </c>
      <c r="M23" s="7"/>
      <c r="N23" s="7"/>
      <c r="O23" s="7"/>
      <c r="P23" s="7"/>
      <c r="Q23" s="74"/>
      <c r="R23" s="7"/>
      <c r="S23" s="7"/>
      <c r="T23" s="7"/>
      <c r="U23" s="7"/>
      <c r="V23" s="7"/>
      <c r="W23" s="7"/>
      <c r="X23" s="7"/>
      <c r="Y23" s="7"/>
      <c r="Z23" s="7"/>
    </row>
    <row r="24" spans="1:26" ht="12.75" customHeight="1">
      <c r="A24" s="7" t="s">
        <v>154</v>
      </c>
      <c r="B24" s="7"/>
      <c r="C24" s="7"/>
      <c r="D24" s="7"/>
      <c r="E24" s="7"/>
      <c r="F24" s="7"/>
      <c r="G24" s="7"/>
      <c r="H24" s="7"/>
      <c r="I24" s="7"/>
      <c r="J24" s="7"/>
      <c r="K24" s="7"/>
      <c r="L24" s="7"/>
      <c r="M24" s="7"/>
      <c r="N24" s="7"/>
      <c r="O24" s="7"/>
      <c r="P24" s="7"/>
      <c r="Q24" s="74"/>
      <c r="R24" s="7"/>
      <c r="S24" s="7"/>
      <c r="T24" s="7"/>
      <c r="U24" s="7"/>
      <c r="V24" s="7"/>
      <c r="W24" s="7"/>
      <c r="X24" s="7"/>
      <c r="Y24" s="7"/>
      <c r="Z24" s="7"/>
    </row>
    <row r="25" spans="1:26" ht="12.75" customHeight="1">
      <c r="A25" s="7" t="s">
        <v>405</v>
      </c>
      <c r="B25" s="7" t="s">
        <v>406</v>
      </c>
      <c r="C25" s="7" t="s">
        <v>407</v>
      </c>
      <c r="D25" s="7" t="s">
        <v>408</v>
      </c>
      <c r="E25" s="7" t="s">
        <v>409</v>
      </c>
      <c r="F25" s="7" t="s">
        <v>139</v>
      </c>
      <c r="G25" s="7" t="s">
        <v>353</v>
      </c>
      <c r="H25" s="7" t="s">
        <v>182</v>
      </c>
      <c r="I25" s="7" t="s">
        <v>139</v>
      </c>
      <c r="J25" s="7" t="s">
        <v>353</v>
      </c>
      <c r="K25" s="7" t="s">
        <v>184</v>
      </c>
      <c r="L25" s="7" t="s">
        <v>139</v>
      </c>
      <c r="M25" s="7"/>
      <c r="N25" s="7"/>
      <c r="O25" s="7"/>
      <c r="P25" s="7"/>
      <c r="Q25" s="74"/>
      <c r="R25" s="7"/>
      <c r="S25" s="7"/>
      <c r="T25" s="7"/>
      <c r="U25" s="7"/>
      <c r="V25" s="7"/>
      <c r="W25" s="7"/>
      <c r="X25" s="7"/>
      <c r="Y25" s="7"/>
      <c r="Z25" s="7"/>
    </row>
    <row r="26" spans="1:26" ht="12.75" customHeight="1">
      <c r="A26" s="7" t="s">
        <v>410</v>
      </c>
      <c r="B26" s="7" t="s">
        <v>411</v>
      </c>
      <c r="C26" s="7" t="s">
        <v>412</v>
      </c>
      <c r="D26" s="7" t="s">
        <v>413</v>
      </c>
      <c r="E26" s="7" t="s">
        <v>414</v>
      </c>
      <c r="F26" s="7" t="s">
        <v>139</v>
      </c>
      <c r="G26" s="7" t="s">
        <v>353</v>
      </c>
      <c r="H26" s="7" t="s">
        <v>182</v>
      </c>
      <c r="I26" s="7" t="s">
        <v>139</v>
      </c>
      <c r="J26" s="7" t="s">
        <v>353</v>
      </c>
      <c r="K26" s="7" t="s">
        <v>184</v>
      </c>
      <c r="L26" s="7" t="s">
        <v>139</v>
      </c>
      <c r="M26" s="7"/>
      <c r="N26" s="7"/>
      <c r="O26" s="7"/>
      <c r="P26" s="7"/>
      <c r="Q26" s="74"/>
      <c r="R26" s="7"/>
      <c r="S26" s="7"/>
      <c r="T26" s="7"/>
      <c r="U26" s="7"/>
      <c r="V26" s="7"/>
      <c r="W26" s="7"/>
      <c r="X26" s="7"/>
      <c r="Y26" s="7"/>
      <c r="Z26" s="7"/>
    </row>
    <row r="27" spans="1:26" ht="12.75" customHeight="1">
      <c r="A27" s="7" t="s">
        <v>415</v>
      </c>
      <c r="B27" s="7" t="s">
        <v>416</v>
      </c>
      <c r="C27" s="7" t="s">
        <v>417</v>
      </c>
      <c r="D27" s="7" t="s">
        <v>418</v>
      </c>
      <c r="E27" s="7" t="s">
        <v>419</v>
      </c>
      <c r="F27" s="7" t="s">
        <v>139</v>
      </c>
      <c r="G27" s="7" t="s">
        <v>353</v>
      </c>
      <c r="H27" s="7" t="s">
        <v>182</v>
      </c>
      <c r="I27" s="7" t="s">
        <v>139</v>
      </c>
      <c r="J27" s="7" t="s">
        <v>353</v>
      </c>
      <c r="K27" s="7" t="s">
        <v>184</v>
      </c>
      <c r="L27" s="7" t="s">
        <v>139</v>
      </c>
      <c r="M27" s="7"/>
      <c r="N27" s="7"/>
      <c r="O27" s="7"/>
      <c r="P27" s="7"/>
      <c r="Q27" s="74"/>
      <c r="R27" s="7"/>
      <c r="S27" s="7"/>
      <c r="T27" s="7"/>
      <c r="U27" s="7"/>
      <c r="V27" s="7"/>
      <c r="W27" s="7"/>
      <c r="X27" s="7"/>
      <c r="Y27" s="7"/>
      <c r="Z27" s="7"/>
    </row>
    <row r="28" spans="1:26" ht="12.75" customHeight="1">
      <c r="A28" s="7" t="s">
        <v>420</v>
      </c>
      <c r="B28" s="7" t="s">
        <v>421</v>
      </c>
      <c r="C28" s="7" t="s">
        <v>422</v>
      </c>
      <c r="D28" s="7" t="s">
        <v>423</v>
      </c>
      <c r="E28" s="7" t="s">
        <v>424</v>
      </c>
      <c r="F28" s="7" t="s">
        <v>139</v>
      </c>
      <c r="G28" s="7" t="s">
        <v>353</v>
      </c>
      <c r="H28" s="7" t="s">
        <v>182</v>
      </c>
      <c r="I28" s="7" t="s">
        <v>139</v>
      </c>
      <c r="J28" s="7" t="s">
        <v>353</v>
      </c>
      <c r="K28" s="7" t="s">
        <v>184</v>
      </c>
      <c r="L28" s="7" t="s">
        <v>139</v>
      </c>
      <c r="M28" s="7"/>
      <c r="N28" s="7"/>
      <c r="O28" s="7"/>
      <c r="P28" s="7"/>
      <c r="Q28" s="74"/>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4"/>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4"/>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4"/>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4"/>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4"/>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4"/>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4"/>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4"/>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4"/>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4"/>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4"/>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4"/>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4"/>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4"/>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4"/>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4"/>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4"/>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4"/>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4"/>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4"/>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4"/>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4"/>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4"/>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4"/>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4"/>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4"/>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4"/>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4"/>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4"/>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4"/>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4"/>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4"/>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4"/>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4"/>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4"/>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4"/>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4"/>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4"/>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4"/>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4"/>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4"/>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4"/>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4"/>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4"/>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4"/>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4"/>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4"/>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4"/>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4"/>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4"/>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4"/>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4"/>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4"/>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4"/>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4"/>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4"/>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4"/>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4"/>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4"/>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4"/>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4"/>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4"/>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4"/>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4"/>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4"/>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4"/>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4"/>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4"/>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4"/>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4"/>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4"/>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4"/>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4"/>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4"/>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4"/>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4"/>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4"/>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4"/>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4"/>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4"/>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4"/>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4"/>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4"/>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4"/>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4"/>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4"/>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4"/>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4"/>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4"/>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4"/>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4"/>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4"/>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4"/>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4"/>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4"/>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4"/>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4"/>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4"/>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4"/>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4"/>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4"/>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4"/>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4"/>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4"/>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4"/>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4"/>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4"/>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4"/>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4"/>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4"/>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4"/>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4"/>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4"/>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4"/>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4"/>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4"/>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4"/>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4"/>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4"/>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4"/>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4"/>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4"/>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4"/>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4"/>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4"/>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4"/>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4"/>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4"/>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4"/>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4"/>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4"/>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4"/>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4"/>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4"/>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4"/>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4"/>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4"/>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4"/>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4"/>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4"/>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4"/>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4"/>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4"/>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4"/>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4"/>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4"/>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4"/>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4"/>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4"/>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4"/>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4"/>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4"/>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4"/>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4"/>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4"/>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4"/>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4"/>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4"/>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4"/>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4"/>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4"/>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4"/>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4"/>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4"/>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4"/>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4"/>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4"/>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4"/>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4"/>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4"/>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4"/>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4"/>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4"/>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4"/>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4"/>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4"/>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4"/>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4"/>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4"/>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4"/>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4"/>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4"/>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4"/>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4"/>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4"/>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4"/>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4"/>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4"/>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4"/>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4"/>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4"/>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4"/>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4"/>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4"/>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4"/>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4"/>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4"/>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4"/>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4"/>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4"/>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4"/>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4"/>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4"/>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4"/>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4"/>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4"/>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4"/>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4"/>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4"/>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4"/>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4"/>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4"/>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4"/>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4"/>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4"/>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4"/>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4"/>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4"/>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4"/>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4"/>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4"/>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4"/>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4"/>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4"/>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4"/>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4"/>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4"/>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4"/>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4"/>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4"/>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4"/>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4"/>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4"/>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4"/>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4"/>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4"/>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4"/>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4"/>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4"/>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4"/>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4"/>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4"/>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4"/>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4"/>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4"/>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4"/>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4"/>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4"/>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4"/>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4"/>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4"/>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4"/>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4"/>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4"/>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4"/>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4"/>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4"/>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4"/>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4"/>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4"/>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4"/>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4"/>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4"/>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4"/>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4"/>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4"/>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4"/>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4"/>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4"/>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4"/>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4"/>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4"/>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4"/>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4"/>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4"/>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4"/>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4"/>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4"/>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4"/>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4"/>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4"/>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4"/>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4"/>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4"/>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4"/>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4"/>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4"/>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4"/>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4"/>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4"/>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4"/>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4"/>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4"/>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4"/>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4"/>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4"/>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4"/>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4"/>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4"/>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4"/>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4"/>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4"/>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4"/>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4"/>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4"/>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4"/>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4"/>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4"/>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4"/>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4"/>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4"/>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4"/>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4"/>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4"/>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4"/>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4"/>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4"/>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4"/>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4"/>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4"/>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4"/>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4"/>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4"/>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4"/>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4"/>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4"/>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4"/>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4"/>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4"/>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4"/>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4"/>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4"/>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4"/>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4"/>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4"/>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4"/>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4"/>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4"/>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4"/>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4"/>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4"/>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4"/>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4"/>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4"/>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4"/>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4"/>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4"/>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4"/>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4"/>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4"/>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4"/>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4"/>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4"/>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4"/>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4"/>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4"/>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4"/>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4"/>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4"/>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4"/>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4"/>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4"/>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4"/>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4"/>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4"/>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4"/>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4"/>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4"/>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4"/>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4"/>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4"/>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4"/>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4"/>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4"/>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4"/>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4"/>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4"/>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4"/>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4"/>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4"/>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4"/>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4"/>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4"/>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4"/>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4"/>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4"/>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4"/>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4"/>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4"/>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4"/>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4"/>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4"/>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4"/>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4"/>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4"/>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4"/>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4"/>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4"/>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4"/>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4"/>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4"/>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4"/>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4"/>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4"/>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4"/>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4"/>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4"/>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4"/>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4"/>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4"/>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4"/>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4"/>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4"/>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4"/>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4"/>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4"/>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4"/>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4"/>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4"/>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4"/>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4"/>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4"/>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4"/>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4"/>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4"/>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4"/>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4"/>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4"/>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4"/>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4"/>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4"/>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4"/>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4"/>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4"/>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4"/>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4"/>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4"/>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4"/>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4"/>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4"/>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4"/>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4"/>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4"/>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4"/>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4"/>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4"/>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4"/>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4"/>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4"/>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4"/>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4"/>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4"/>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4"/>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4"/>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4"/>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4"/>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4"/>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4"/>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4"/>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4"/>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4"/>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4"/>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4"/>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4"/>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4"/>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4"/>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4"/>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4"/>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4"/>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4"/>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4"/>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4"/>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4"/>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4"/>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4"/>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4"/>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4"/>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4"/>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4"/>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4"/>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4"/>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4"/>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4"/>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4"/>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4"/>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4"/>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4"/>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4"/>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4"/>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4"/>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4"/>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4"/>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4"/>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4"/>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4"/>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4"/>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4"/>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4"/>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4"/>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4"/>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4"/>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4"/>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4"/>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4"/>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4"/>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4"/>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4"/>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4"/>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4"/>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4"/>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4"/>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4"/>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4"/>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4"/>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4"/>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4"/>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4"/>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4"/>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4"/>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4"/>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4"/>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4"/>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4"/>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4"/>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4"/>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4"/>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4"/>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4"/>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4"/>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4"/>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4"/>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4"/>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4"/>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4"/>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4"/>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4"/>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4"/>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4"/>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4"/>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4"/>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4"/>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4"/>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4"/>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4"/>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4"/>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4"/>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4"/>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4"/>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4"/>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4"/>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4"/>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4"/>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4"/>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4"/>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4"/>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4"/>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4"/>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4"/>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4"/>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4"/>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4"/>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4"/>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4"/>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4"/>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4"/>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4"/>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4"/>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4"/>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4"/>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4"/>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4"/>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4"/>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4"/>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4"/>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4"/>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4"/>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4"/>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4"/>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4"/>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4"/>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4"/>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4"/>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4"/>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4"/>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4"/>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4"/>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4"/>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4"/>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4"/>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4"/>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4"/>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4"/>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4"/>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4"/>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4"/>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4"/>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4"/>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4"/>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4"/>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4"/>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4"/>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4"/>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4"/>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4"/>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4"/>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4"/>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4"/>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4"/>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4"/>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4"/>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4"/>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4"/>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4"/>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4"/>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4"/>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4"/>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4"/>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4"/>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4"/>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4"/>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4"/>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4"/>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4"/>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4"/>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4"/>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4"/>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4"/>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4"/>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4"/>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4"/>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4"/>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4"/>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4"/>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4"/>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4"/>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4"/>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4"/>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4"/>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4"/>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4"/>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4"/>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4"/>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4"/>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4"/>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4"/>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4"/>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4"/>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4"/>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4"/>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4"/>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4"/>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4"/>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4"/>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4"/>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4"/>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4"/>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4"/>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4"/>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4"/>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4"/>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4"/>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4"/>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4"/>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4"/>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4"/>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4"/>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4"/>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4"/>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4"/>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4"/>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4"/>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4"/>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4"/>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4"/>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4"/>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4"/>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4"/>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4"/>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4"/>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4"/>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4"/>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4"/>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4"/>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4"/>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4"/>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4"/>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4"/>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4"/>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4"/>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4"/>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4"/>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4"/>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4"/>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4"/>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4"/>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4"/>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4"/>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4"/>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4"/>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4"/>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4"/>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4"/>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4"/>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4"/>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4"/>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4"/>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4"/>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4"/>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4"/>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4"/>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4"/>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4"/>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4"/>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4"/>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4"/>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4"/>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4"/>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4"/>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4"/>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4"/>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4"/>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4"/>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4"/>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4"/>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4"/>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4"/>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4"/>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4"/>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4"/>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4"/>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4"/>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4"/>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4"/>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4"/>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4"/>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4"/>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4"/>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4"/>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4"/>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4"/>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4"/>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4"/>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4"/>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4"/>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4"/>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4"/>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4"/>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4"/>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4"/>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4"/>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4"/>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4"/>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4"/>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4"/>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4"/>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4"/>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4"/>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4"/>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4"/>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4"/>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4"/>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4"/>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4"/>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4"/>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4"/>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4"/>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4"/>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4"/>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4"/>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4"/>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4"/>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4"/>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4"/>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4"/>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4"/>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4"/>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4"/>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4"/>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4"/>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4"/>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4"/>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4"/>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4"/>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4"/>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4"/>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4"/>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4"/>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4"/>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4"/>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4"/>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4"/>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4"/>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4"/>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4"/>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4"/>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4"/>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4"/>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4"/>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4"/>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4"/>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4"/>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4"/>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4"/>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4"/>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4"/>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4"/>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4"/>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4"/>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4"/>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4"/>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4"/>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4"/>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4"/>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4"/>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4"/>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4"/>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4"/>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4"/>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4"/>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4"/>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4"/>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4"/>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4"/>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4"/>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4"/>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4"/>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4"/>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4"/>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4"/>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4"/>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4"/>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4"/>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4"/>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4"/>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4"/>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4"/>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4"/>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4"/>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4"/>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4"/>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4"/>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4"/>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4"/>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4"/>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4"/>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4"/>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4"/>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4"/>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4"/>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4"/>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4"/>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4"/>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4"/>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4"/>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4"/>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4"/>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4"/>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4"/>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4"/>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4"/>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4"/>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4"/>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4"/>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4"/>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4"/>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4"/>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4"/>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4"/>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4"/>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4"/>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4"/>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4"/>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4"/>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4"/>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4"/>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4"/>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4"/>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4"/>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4"/>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4"/>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4"/>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4"/>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4"/>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4"/>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4"/>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4"/>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4"/>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4"/>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4"/>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4"/>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4"/>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4"/>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4"/>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4"/>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4"/>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4"/>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4"/>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4"/>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4"/>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4"/>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4"/>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4"/>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4"/>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4"/>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4"/>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4"/>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4"/>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4"/>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4"/>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4"/>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4"/>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4"/>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4"/>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4"/>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4"/>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4"/>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4"/>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4"/>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4"/>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4"/>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4"/>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4"/>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4"/>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4"/>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4"/>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4"/>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4"/>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4"/>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4"/>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4"/>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4"/>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4"/>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4"/>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4"/>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4"/>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4"/>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4"/>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4"/>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4"/>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4"/>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4"/>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4"/>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4"/>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4"/>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4"/>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4"/>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4"/>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4"/>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4"/>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4"/>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4"/>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4"/>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4"/>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4"/>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4"/>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4"/>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4"/>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4"/>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4"/>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4"/>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4"/>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4"/>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4"/>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4"/>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4"/>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4"/>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4"/>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4"/>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4"/>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4"/>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4"/>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4"/>
      <c r="R1000" s="7"/>
      <c r="S1000" s="7"/>
      <c r="T1000" s="7"/>
      <c r="U1000" s="7"/>
      <c r="V1000" s="7"/>
      <c r="W1000" s="7"/>
      <c r="X1000" s="7"/>
      <c r="Y1000" s="7"/>
      <c r="Z1000" s="7"/>
    </row>
  </sheetData>
  <mergeCells count="3">
    <mergeCell ref="B2:E2"/>
    <mergeCell ref="B3:E3"/>
    <mergeCell ref="B4:E4"/>
  </mergeCells>
  <dataValidations count="15">
    <dataValidation type="list" allowBlank="1" showErrorMessage="1" sqref="F12:F19">
      <formula1>$R$2:$R$5</formula1>
    </dataValidation>
    <dataValidation type="list" allowBlank="1" showErrorMessage="1" sqref="G100:G144">
      <formula1>$R$2:$R$5</formula1>
    </dataValidation>
    <dataValidation type="list" allowBlank="1" showErrorMessage="1" sqref="G2:G3">
      <formula1>$R$2:$R$5</formula1>
    </dataValidation>
    <dataValidation type="list" allowBlank="1" showErrorMessage="1" sqref="G20:G144">
      <formula1>$R$2:$R$5</formula1>
    </dataValidation>
    <dataValidation type="list" allowBlank="1" showErrorMessage="1" sqref="G9">
      <formula1>$R$2:$R$5</formula1>
    </dataValidation>
    <dataValidation type="list" allowBlank="1" showErrorMessage="1" sqref="I12:I19">
      <formula1>$R$2:$R$5</formula1>
    </dataValidation>
    <dataValidation type="list" allowBlank="1" showErrorMessage="1" sqref="J100:J144">
      <formula1>$R$2:$R$5</formula1>
    </dataValidation>
    <dataValidation type="list" allowBlank="1" showErrorMessage="1" sqref="J2:J3">
      <formula1>$R$2:$R$5</formula1>
    </dataValidation>
    <dataValidation type="list" allowBlank="1" showErrorMessage="1" sqref="J20:J144">
      <formula1>$R$2:$R$5</formula1>
    </dataValidation>
    <dataValidation type="list" allowBlank="1" showErrorMessage="1" sqref="J9">
      <formula1>$R$2:$R$5</formula1>
    </dataValidation>
    <dataValidation type="list" allowBlank="1" showErrorMessage="1" sqref="L12:L19">
      <formula1>$R$2:$R$5</formula1>
    </dataValidation>
    <dataValidation type="list" allowBlank="1" showErrorMessage="1" sqref="M100:M144">
      <formula1>$R$2:$R$5</formula1>
    </dataValidation>
    <dataValidation type="list" allowBlank="1" showErrorMessage="1" sqref="M2:M3">
      <formula1>$R$2:$R$5</formula1>
    </dataValidation>
    <dataValidation type="list" allowBlank="1" showErrorMessage="1" sqref="M20:M144">
      <formula1>$R$2:$R$5</formula1>
    </dataValidation>
    <dataValidation type="list" allowBlank="1" showErrorMessage="1" sqref="M9">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zoomScaleNormal="100" workbookViewId="0">
      <pane ySplit="10" topLeftCell="A14" activePane="bottomLeft" state="frozen"/>
      <selection pane="bottomLeft" activeCell="B12" sqref="B12"/>
    </sheetView>
  </sheetViews>
  <sheetFormatPr defaultColWidth="12.6640625" defaultRowHeight="14.4" outlineLevelRow="1" outlineLevelCol="1"/>
  <cols>
    <col min="1" max="1" width="17" customWidth="1"/>
    <col min="2" max="2" width="37.21875" customWidth="1"/>
    <col min="3" max="3" width="33.33203125" customWidth="1"/>
    <col min="4" max="4" width="34.6640625" customWidth="1"/>
    <col min="5" max="5" width="30.33203125" customWidth="1"/>
    <col min="6" max="6" width="11" customWidth="1"/>
    <col min="7" max="7" width="10.6640625" customWidth="1" outlineLevel="1" collapsed="1"/>
    <col min="8" max="8" width="10.109375" customWidth="1" outlineLevel="1" collapsed="1"/>
    <col min="9" max="9" width="9.33203125" customWidth="1"/>
    <col min="10" max="10" width="10.6640625" customWidth="1" outlineLevel="1" collapsed="1"/>
    <col min="11" max="11" width="10.44140625" customWidth="1" outlineLevel="1" collapsed="1"/>
    <col min="12" max="12" width="9.33203125" customWidth="1"/>
    <col min="13" max="13" width="10.6640625" customWidth="1" outlineLevel="1" collapsed="1"/>
    <col min="14" max="14" width="9" customWidth="1" outlineLevel="1" collapsed="1"/>
    <col min="15" max="15" width="28.6640625" customWidth="1"/>
    <col min="16" max="16" width="10.109375" customWidth="1"/>
    <col min="17" max="17" width="8.109375" customWidth="1"/>
    <col min="18" max="18" width="7.6640625" hidden="1" customWidth="1"/>
  </cols>
  <sheetData>
    <row r="1" spans="1:26" ht="12.75" customHeight="1">
      <c r="A1" s="7"/>
      <c r="B1" s="7"/>
      <c r="C1" s="7"/>
      <c r="D1" s="7"/>
      <c r="E1" s="7"/>
      <c r="F1" s="7"/>
      <c r="G1" s="7"/>
      <c r="H1" s="7"/>
      <c r="I1" s="7"/>
      <c r="J1" s="7"/>
      <c r="K1" s="7"/>
      <c r="L1" s="7"/>
      <c r="M1" s="7"/>
      <c r="N1" s="7"/>
      <c r="O1" s="7"/>
      <c r="P1" s="7"/>
      <c r="Q1" s="74"/>
      <c r="R1" s="7"/>
      <c r="S1" s="7"/>
      <c r="T1" s="7"/>
      <c r="U1" s="7"/>
      <c r="V1" s="7"/>
      <c r="W1" s="7"/>
      <c r="X1" s="7"/>
      <c r="Y1" s="7"/>
      <c r="Z1" s="7"/>
    </row>
    <row r="2" spans="1:26" ht="15" customHeight="1">
      <c r="A2" s="75" t="s">
        <v>159</v>
      </c>
      <c r="B2" s="114" t="s">
        <v>425</v>
      </c>
      <c r="C2" s="115"/>
      <c r="D2" s="115"/>
      <c r="E2" s="116"/>
      <c r="F2" s="76"/>
      <c r="G2" s="77"/>
      <c r="H2" s="37"/>
      <c r="I2" s="76"/>
      <c r="J2" s="77"/>
      <c r="K2" s="37"/>
      <c r="L2" s="76"/>
      <c r="M2" s="77"/>
      <c r="N2" s="37"/>
      <c r="O2" s="37"/>
      <c r="P2" s="37"/>
      <c r="Q2" s="78"/>
      <c r="R2" s="79" t="s">
        <v>139</v>
      </c>
      <c r="S2" s="79"/>
      <c r="T2" s="79"/>
      <c r="U2" s="79"/>
      <c r="V2" s="79"/>
      <c r="W2" s="79"/>
      <c r="X2" s="79"/>
      <c r="Y2" s="79"/>
      <c r="Z2" s="79"/>
    </row>
    <row r="3" spans="1:26" ht="12.75" customHeight="1">
      <c r="A3" s="80" t="s">
        <v>161</v>
      </c>
      <c r="B3" s="117" t="s">
        <v>426</v>
      </c>
      <c r="C3" s="102"/>
      <c r="D3" s="102"/>
      <c r="E3" s="118"/>
      <c r="F3" s="76"/>
      <c r="G3" s="77"/>
      <c r="H3" s="37"/>
      <c r="I3" s="76"/>
      <c r="J3" s="77"/>
      <c r="K3" s="37"/>
      <c r="L3" s="76"/>
      <c r="M3" s="77"/>
      <c r="N3" s="37"/>
      <c r="O3" s="37"/>
      <c r="P3" s="37"/>
      <c r="Q3" s="78"/>
      <c r="R3" s="79" t="s">
        <v>140</v>
      </c>
      <c r="S3" s="79"/>
      <c r="T3" s="79"/>
      <c r="U3" s="79"/>
      <c r="V3" s="79"/>
      <c r="W3" s="79"/>
      <c r="X3" s="79"/>
      <c r="Y3" s="79"/>
      <c r="Z3" s="79"/>
    </row>
    <row r="4" spans="1:26" ht="18" customHeight="1">
      <c r="A4" s="80" t="s">
        <v>163</v>
      </c>
      <c r="B4" s="117">
        <v>13</v>
      </c>
      <c r="C4" s="102"/>
      <c r="D4" s="102"/>
      <c r="E4" s="118"/>
      <c r="F4" s="76"/>
      <c r="G4" s="77"/>
      <c r="H4" s="37"/>
      <c r="I4" s="76"/>
      <c r="J4" s="77"/>
      <c r="K4" s="37"/>
      <c r="L4" s="76"/>
      <c r="M4" s="77"/>
      <c r="N4" s="37"/>
      <c r="O4" s="37"/>
      <c r="P4" s="37"/>
      <c r="Q4" s="78"/>
      <c r="R4" s="79" t="s">
        <v>141</v>
      </c>
      <c r="S4" s="79"/>
      <c r="T4" s="79"/>
      <c r="U4" s="79"/>
      <c r="V4" s="79"/>
      <c r="W4" s="79"/>
      <c r="X4" s="79"/>
      <c r="Y4" s="79"/>
      <c r="Z4" s="79"/>
    </row>
    <row r="5" spans="1:26" ht="19.5" customHeight="1">
      <c r="A5" s="81" t="s">
        <v>164</v>
      </c>
      <c r="B5" s="82" t="s">
        <v>139</v>
      </c>
      <c r="C5" s="82" t="s">
        <v>140</v>
      </c>
      <c r="D5" s="82" t="s">
        <v>141</v>
      </c>
      <c r="E5" s="83" t="s">
        <v>142</v>
      </c>
      <c r="F5" s="84"/>
      <c r="G5" s="84"/>
      <c r="H5" s="85"/>
      <c r="I5" s="84"/>
      <c r="J5" s="84"/>
      <c r="K5" s="85"/>
      <c r="L5" s="84"/>
      <c r="M5" s="84"/>
      <c r="N5" s="85"/>
      <c r="O5" s="85"/>
      <c r="P5" s="85"/>
      <c r="Q5" s="86"/>
      <c r="R5" s="79" t="s">
        <v>142</v>
      </c>
      <c r="S5" s="79"/>
      <c r="T5" s="79"/>
      <c r="U5" s="79"/>
      <c r="V5" s="79"/>
      <c r="W5" s="79"/>
      <c r="X5" s="79"/>
      <c r="Y5" s="79"/>
      <c r="Z5" s="79"/>
    </row>
    <row r="6" spans="1:26" ht="15" customHeight="1">
      <c r="A6" s="81" t="s">
        <v>165</v>
      </c>
      <c r="B6" s="7">
        <f t="shared" ref="B6:E8" si="0">COUNTIF($F$11:$F$37,B$5)</f>
        <v>13</v>
      </c>
      <c r="C6" s="7">
        <f t="shared" si="0"/>
        <v>0</v>
      </c>
      <c r="D6" s="7">
        <f t="shared" si="0"/>
        <v>0</v>
      </c>
      <c r="E6" s="88">
        <f t="shared" si="0"/>
        <v>0</v>
      </c>
      <c r="F6" s="89"/>
      <c r="G6" s="89"/>
      <c r="H6" s="85"/>
      <c r="I6" s="89"/>
      <c r="J6" s="89"/>
      <c r="K6" s="85"/>
      <c r="L6" s="89"/>
      <c r="M6" s="89"/>
      <c r="N6" s="85"/>
      <c r="O6" s="85"/>
      <c r="P6" s="85"/>
      <c r="Q6" s="86"/>
      <c r="R6" s="79"/>
      <c r="S6" s="79"/>
      <c r="T6" s="79"/>
      <c r="U6" s="79"/>
      <c r="V6" s="79"/>
      <c r="W6" s="79"/>
      <c r="X6" s="79"/>
      <c r="Y6" s="79"/>
      <c r="Z6" s="79"/>
    </row>
    <row r="7" spans="1:26" ht="15" customHeight="1">
      <c r="A7" s="81" t="s">
        <v>166</v>
      </c>
      <c r="B7" s="7">
        <f t="shared" si="0"/>
        <v>13</v>
      </c>
      <c r="C7" s="7">
        <f t="shared" si="0"/>
        <v>0</v>
      </c>
      <c r="D7" s="7">
        <f t="shared" si="0"/>
        <v>0</v>
      </c>
      <c r="E7" s="88">
        <f t="shared" si="0"/>
        <v>0</v>
      </c>
      <c r="F7" s="89"/>
      <c r="G7" s="89"/>
      <c r="H7" s="85"/>
      <c r="I7" s="89"/>
      <c r="J7" s="89"/>
      <c r="K7" s="85"/>
      <c r="L7" s="89"/>
      <c r="M7" s="89"/>
      <c r="N7" s="85"/>
      <c r="O7" s="85"/>
      <c r="P7" s="85"/>
      <c r="Q7" s="86"/>
      <c r="R7" s="79"/>
      <c r="S7" s="79"/>
      <c r="T7" s="79"/>
      <c r="U7" s="79"/>
      <c r="V7" s="79"/>
      <c r="W7" s="79"/>
      <c r="X7" s="79"/>
      <c r="Y7" s="79"/>
      <c r="Z7" s="79"/>
    </row>
    <row r="8" spans="1:26" ht="15" customHeight="1">
      <c r="A8" s="90" t="s">
        <v>167</v>
      </c>
      <c r="B8" s="87">
        <f t="shared" si="0"/>
        <v>13</v>
      </c>
      <c r="C8" s="87">
        <f t="shared" si="0"/>
        <v>0</v>
      </c>
      <c r="D8" s="87">
        <f t="shared" si="0"/>
        <v>0</v>
      </c>
      <c r="E8" s="91">
        <f t="shared" si="0"/>
        <v>0</v>
      </c>
      <c r="F8" s="89"/>
      <c r="G8" s="89"/>
      <c r="H8" s="85"/>
      <c r="I8" s="89"/>
      <c r="J8" s="89"/>
      <c r="K8" s="85"/>
      <c r="L8" s="89"/>
      <c r="M8" s="89"/>
      <c r="N8" s="85"/>
      <c r="O8" s="85"/>
      <c r="P8" s="85"/>
      <c r="Q8" s="86"/>
      <c r="R8" s="79"/>
      <c r="S8" s="79"/>
      <c r="T8" s="79"/>
      <c r="U8" s="79"/>
      <c r="V8" s="79"/>
      <c r="W8" s="79"/>
      <c r="X8" s="79"/>
      <c r="Y8" s="79"/>
      <c r="Z8" s="79"/>
    </row>
    <row r="9" spans="1:26" ht="15" customHeight="1">
      <c r="A9" s="85"/>
      <c r="B9" s="85"/>
      <c r="C9" s="85"/>
      <c r="D9" s="85"/>
      <c r="E9" s="85"/>
      <c r="F9" s="92"/>
      <c r="G9" s="85"/>
      <c r="H9" s="85"/>
      <c r="I9" s="92"/>
      <c r="J9" s="85"/>
      <c r="K9" s="85"/>
      <c r="L9" s="92"/>
      <c r="M9" s="85"/>
      <c r="N9" s="85"/>
      <c r="O9" s="85"/>
      <c r="P9" s="85"/>
      <c r="Q9" s="86"/>
      <c r="R9" s="79"/>
      <c r="S9" s="79"/>
      <c r="T9" s="79"/>
      <c r="U9" s="79"/>
      <c r="V9" s="79"/>
      <c r="W9" s="79"/>
      <c r="X9" s="79"/>
      <c r="Y9" s="79"/>
      <c r="Z9" s="79"/>
    </row>
    <row r="10" spans="1:26" ht="25.5" customHeight="1">
      <c r="A10" s="93" t="s">
        <v>168</v>
      </c>
      <c r="B10" s="93" t="s">
        <v>169</v>
      </c>
      <c r="C10" s="93" t="s">
        <v>170</v>
      </c>
      <c r="D10" s="93" t="s">
        <v>171</v>
      </c>
      <c r="E10" s="93" t="s">
        <v>172</v>
      </c>
      <c r="F10" s="93" t="s">
        <v>165</v>
      </c>
      <c r="G10" s="93" t="s">
        <v>173</v>
      </c>
      <c r="H10" s="93" t="s">
        <v>174</v>
      </c>
      <c r="I10" s="93" t="s">
        <v>166</v>
      </c>
      <c r="J10" s="93" t="s">
        <v>173</v>
      </c>
      <c r="K10" s="93" t="s">
        <v>174</v>
      </c>
      <c r="L10" s="93" t="s">
        <v>167</v>
      </c>
      <c r="M10" s="93" t="s">
        <v>173</v>
      </c>
      <c r="N10" s="93" t="s">
        <v>174</v>
      </c>
      <c r="O10" s="93" t="s">
        <v>175</v>
      </c>
      <c r="P10" s="79"/>
      <c r="Q10" s="94"/>
      <c r="R10" s="79"/>
      <c r="S10" s="79"/>
      <c r="T10" s="79"/>
      <c r="U10" s="79"/>
      <c r="V10" s="79"/>
      <c r="W10" s="79"/>
      <c r="X10" s="79"/>
      <c r="Y10" s="79"/>
      <c r="Z10" s="79"/>
    </row>
    <row r="11" spans="1:26" ht="15.75" customHeight="1">
      <c r="A11" s="95" t="s">
        <v>151</v>
      </c>
      <c r="B11" s="95"/>
      <c r="C11" s="96"/>
      <c r="D11" s="96"/>
      <c r="E11" s="96"/>
      <c r="F11" s="96"/>
      <c r="G11" s="96"/>
      <c r="H11" s="96"/>
      <c r="I11" s="96"/>
      <c r="J11" s="96"/>
      <c r="K11" s="96"/>
      <c r="L11" s="96"/>
      <c r="M11" s="96"/>
      <c r="N11" s="96"/>
      <c r="P11" s="79"/>
      <c r="Q11" s="97"/>
      <c r="R11" s="79"/>
      <c r="S11" s="79"/>
      <c r="T11" s="79"/>
      <c r="U11" s="79"/>
      <c r="V11" s="79"/>
      <c r="W11" s="79"/>
      <c r="X11" s="79"/>
      <c r="Y11" s="79"/>
      <c r="Z11" s="79"/>
    </row>
    <row r="12" spans="1:26" ht="84" customHeight="1" outlineLevel="1" collapsed="1">
      <c r="A12" s="7" t="s">
        <v>427</v>
      </c>
      <c r="B12" s="7" t="s">
        <v>428</v>
      </c>
      <c r="C12" s="7" t="s">
        <v>429</v>
      </c>
      <c r="D12" s="74" t="s">
        <v>430</v>
      </c>
      <c r="E12" s="74" t="s">
        <v>431</v>
      </c>
      <c r="F12" s="7" t="s">
        <v>139</v>
      </c>
      <c r="G12" s="7" t="s">
        <v>432</v>
      </c>
      <c r="H12" s="7" t="s">
        <v>182</v>
      </c>
      <c r="I12" s="7" t="s">
        <v>139</v>
      </c>
      <c r="J12" s="7" t="s">
        <v>432</v>
      </c>
      <c r="K12" s="7" t="s">
        <v>184</v>
      </c>
      <c r="L12" s="7" t="s">
        <v>139</v>
      </c>
      <c r="M12" s="7"/>
      <c r="N12" s="7"/>
      <c r="O12" s="7"/>
      <c r="P12" s="98"/>
      <c r="Q12" s="99"/>
      <c r="R12" s="98"/>
      <c r="S12" s="98"/>
      <c r="T12" s="98"/>
      <c r="U12" s="98"/>
      <c r="V12" s="98"/>
      <c r="W12" s="98"/>
      <c r="X12" s="98"/>
      <c r="Y12" s="98"/>
      <c r="Z12" s="98"/>
    </row>
    <row r="13" spans="1:26" ht="15.75" customHeight="1">
      <c r="A13" s="95" t="s">
        <v>433</v>
      </c>
      <c r="B13" s="95" t="s">
        <v>434</v>
      </c>
      <c r="C13" s="96" t="s">
        <v>435</v>
      </c>
      <c r="D13" s="96" t="s">
        <v>436</v>
      </c>
      <c r="E13" s="96" t="s">
        <v>437</v>
      </c>
      <c r="F13" s="96" t="s">
        <v>139</v>
      </c>
      <c r="G13" s="96" t="s">
        <v>432</v>
      </c>
      <c r="H13" s="96" t="s">
        <v>182</v>
      </c>
      <c r="I13" s="96" t="s">
        <v>139</v>
      </c>
      <c r="J13" s="96" t="s">
        <v>432</v>
      </c>
      <c r="K13" s="96" t="s">
        <v>184</v>
      </c>
      <c r="L13" s="96" t="s">
        <v>139</v>
      </c>
      <c r="M13" s="96"/>
      <c r="N13" s="96"/>
      <c r="P13" s="79"/>
      <c r="Q13" s="97"/>
      <c r="R13" s="79"/>
      <c r="S13" s="79"/>
      <c r="T13" s="79"/>
      <c r="U13" s="79"/>
      <c r="V13" s="79"/>
      <c r="W13" s="79"/>
      <c r="X13" s="79"/>
      <c r="Y13" s="79"/>
      <c r="Z13" s="79"/>
    </row>
    <row r="14" spans="1:26" ht="86.25" customHeight="1" outlineLevel="1" collapsed="1">
      <c r="A14" s="7" t="s">
        <v>438</v>
      </c>
      <c r="B14" s="7" t="s">
        <v>439</v>
      </c>
      <c r="C14" s="7" t="s">
        <v>440</v>
      </c>
      <c r="D14" s="7" t="s">
        <v>441</v>
      </c>
      <c r="E14" s="7" t="s">
        <v>442</v>
      </c>
      <c r="F14" s="7" t="s">
        <v>139</v>
      </c>
      <c r="G14" s="7" t="s">
        <v>432</v>
      </c>
      <c r="H14" s="7" t="s">
        <v>182</v>
      </c>
      <c r="I14" s="7" t="s">
        <v>139</v>
      </c>
      <c r="J14" s="7" t="s">
        <v>432</v>
      </c>
      <c r="K14" s="7" t="s">
        <v>184</v>
      </c>
      <c r="L14" s="7" t="s">
        <v>139</v>
      </c>
      <c r="M14" s="7"/>
      <c r="N14" s="7"/>
      <c r="O14" s="7"/>
      <c r="P14" s="7"/>
      <c r="Q14" s="99"/>
      <c r="R14" s="7"/>
      <c r="S14" s="7"/>
      <c r="T14" s="7"/>
      <c r="U14" s="7"/>
      <c r="V14" s="7"/>
      <c r="W14" s="7"/>
      <c r="X14" s="7"/>
      <c r="Y14" s="7"/>
      <c r="Z14" s="7"/>
    </row>
    <row r="15" spans="1:26" ht="60" customHeight="1" outlineLevel="1" collapsed="1">
      <c r="A15" s="7" t="s">
        <v>443</v>
      </c>
      <c r="B15" s="7" t="s">
        <v>444</v>
      </c>
      <c r="C15" s="7" t="s">
        <v>445</v>
      </c>
      <c r="D15" s="7" t="s">
        <v>446</v>
      </c>
      <c r="E15" s="7" t="s">
        <v>442</v>
      </c>
      <c r="F15" s="7" t="s">
        <v>139</v>
      </c>
      <c r="G15" s="7" t="s">
        <v>432</v>
      </c>
      <c r="H15" s="7" t="s">
        <v>182</v>
      </c>
      <c r="I15" s="7" t="s">
        <v>139</v>
      </c>
      <c r="J15" s="7" t="s">
        <v>432</v>
      </c>
      <c r="K15" s="7" t="s">
        <v>184</v>
      </c>
      <c r="L15" s="7" t="s">
        <v>139</v>
      </c>
      <c r="M15" s="7"/>
      <c r="N15" s="7"/>
      <c r="O15" s="7"/>
      <c r="P15" s="7"/>
      <c r="Q15" s="74"/>
      <c r="R15" s="7"/>
      <c r="S15" s="7"/>
      <c r="T15" s="7"/>
      <c r="U15" s="7"/>
      <c r="V15" s="7"/>
      <c r="W15" s="7"/>
      <c r="X15" s="7"/>
      <c r="Y15" s="7"/>
      <c r="Z15" s="7"/>
    </row>
    <row r="16" spans="1:26" ht="12.75" customHeight="1">
      <c r="A16" s="95" t="s">
        <v>152</v>
      </c>
      <c r="B16" s="95"/>
      <c r="C16" s="96"/>
      <c r="D16" s="96"/>
      <c r="E16" s="96"/>
      <c r="F16" s="96"/>
      <c r="G16" s="96"/>
      <c r="H16" s="96"/>
      <c r="I16" s="96"/>
      <c r="J16" s="96"/>
      <c r="K16" s="96"/>
      <c r="L16" s="96"/>
      <c r="M16" s="96"/>
      <c r="N16" s="96"/>
      <c r="P16" s="7"/>
      <c r="Q16" s="7"/>
      <c r="R16" s="7"/>
      <c r="S16" s="7"/>
      <c r="T16" s="7"/>
      <c r="U16" s="7"/>
      <c r="V16" s="7"/>
      <c r="W16" s="7"/>
      <c r="X16" s="7"/>
      <c r="Y16" s="7"/>
      <c r="Z16" s="7"/>
    </row>
    <row r="17" spans="1:26" ht="12.75" customHeight="1">
      <c r="A17" s="7" t="s">
        <v>447</v>
      </c>
      <c r="B17" s="7" t="s">
        <v>448</v>
      </c>
      <c r="C17" s="7" t="s">
        <v>449</v>
      </c>
      <c r="D17" s="7" t="s">
        <v>450</v>
      </c>
      <c r="E17" s="7" t="s">
        <v>451</v>
      </c>
      <c r="F17" s="7" t="s">
        <v>139</v>
      </c>
      <c r="G17" s="7" t="s">
        <v>432</v>
      </c>
      <c r="H17" s="7" t="s">
        <v>182</v>
      </c>
      <c r="I17" s="7" t="s">
        <v>139</v>
      </c>
      <c r="J17" s="7" t="s">
        <v>432</v>
      </c>
      <c r="K17" s="7" t="s">
        <v>184</v>
      </c>
      <c r="L17" s="7" t="s">
        <v>139</v>
      </c>
      <c r="M17" s="7"/>
      <c r="N17" s="7"/>
      <c r="O17" s="7"/>
      <c r="P17" s="7"/>
      <c r="Q17" s="7"/>
      <c r="R17" s="7"/>
      <c r="S17" s="7"/>
      <c r="T17" s="7"/>
      <c r="U17" s="7"/>
      <c r="V17" s="7"/>
      <c r="W17" s="7"/>
      <c r="X17" s="7"/>
      <c r="Y17" s="7"/>
      <c r="Z17" s="7"/>
    </row>
    <row r="18" spans="1:26" ht="12.75" customHeight="1">
      <c r="A18" s="7" t="s">
        <v>452</v>
      </c>
      <c r="B18" s="7" t="s">
        <v>453</v>
      </c>
      <c r="C18" s="7" t="s">
        <v>454</v>
      </c>
      <c r="D18" s="7" t="s">
        <v>455</v>
      </c>
      <c r="E18" s="7" t="s">
        <v>456</v>
      </c>
      <c r="F18" s="7" t="s">
        <v>139</v>
      </c>
      <c r="G18" s="7" t="s">
        <v>432</v>
      </c>
      <c r="H18" s="7" t="s">
        <v>182</v>
      </c>
      <c r="I18" s="7" t="s">
        <v>139</v>
      </c>
      <c r="J18" s="7" t="s">
        <v>432</v>
      </c>
      <c r="K18" s="7" t="s">
        <v>184</v>
      </c>
      <c r="L18" s="7" t="s">
        <v>139</v>
      </c>
      <c r="M18" s="7"/>
      <c r="N18" s="7"/>
      <c r="O18" s="7"/>
      <c r="P18" s="7"/>
      <c r="Q18" s="74"/>
      <c r="R18" s="7"/>
      <c r="S18" s="7"/>
      <c r="T18" s="7"/>
      <c r="U18" s="7"/>
      <c r="V18" s="7"/>
      <c r="W18" s="7"/>
      <c r="X18" s="7"/>
      <c r="Y18" s="7"/>
      <c r="Z18" s="7"/>
    </row>
    <row r="19" spans="1:26" ht="12.75" customHeight="1">
      <c r="A19" s="7" t="s">
        <v>457</v>
      </c>
      <c r="B19" s="7" t="s">
        <v>458</v>
      </c>
      <c r="C19" s="7" t="s">
        <v>459</v>
      </c>
      <c r="D19" s="7" t="s">
        <v>460</v>
      </c>
      <c r="E19" s="7" t="s">
        <v>461</v>
      </c>
      <c r="F19" s="7" t="s">
        <v>139</v>
      </c>
      <c r="G19" s="7" t="s">
        <v>432</v>
      </c>
      <c r="H19" s="7" t="s">
        <v>182</v>
      </c>
      <c r="I19" s="7" t="s">
        <v>139</v>
      </c>
      <c r="J19" s="7" t="s">
        <v>432</v>
      </c>
      <c r="K19" s="7" t="s">
        <v>184</v>
      </c>
      <c r="L19" s="7" t="s">
        <v>139</v>
      </c>
      <c r="M19" s="7"/>
      <c r="N19" s="7"/>
      <c r="O19" s="7"/>
      <c r="P19" s="7"/>
      <c r="Q19" s="74"/>
      <c r="R19" s="7"/>
      <c r="S19" s="7"/>
      <c r="T19" s="7"/>
      <c r="U19" s="7"/>
      <c r="V19" s="7"/>
      <c r="W19" s="7"/>
      <c r="X19" s="7"/>
      <c r="Y19" s="7"/>
      <c r="Z19" s="7"/>
    </row>
    <row r="20" spans="1:26" ht="12.75" customHeight="1">
      <c r="A20" s="7" t="s">
        <v>462</v>
      </c>
      <c r="B20" s="7" t="s">
        <v>463</v>
      </c>
      <c r="C20" s="7" t="s">
        <v>464</v>
      </c>
      <c r="D20" s="7" t="s">
        <v>465</v>
      </c>
      <c r="E20" s="7" t="s">
        <v>466</v>
      </c>
      <c r="F20" s="7" t="s">
        <v>139</v>
      </c>
      <c r="G20" s="7" t="s">
        <v>432</v>
      </c>
      <c r="H20" s="7" t="s">
        <v>182</v>
      </c>
      <c r="I20" s="7" t="s">
        <v>139</v>
      </c>
      <c r="J20" s="7" t="s">
        <v>432</v>
      </c>
      <c r="K20" s="7" t="s">
        <v>184</v>
      </c>
      <c r="L20" s="7" t="s">
        <v>139</v>
      </c>
      <c r="M20" s="7"/>
      <c r="N20" s="7"/>
      <c r="O20" s="7"/>
      <c r="P20" s="7"/>
      <c r="Q20" s="74"/>
      <c r="R20" s="7"/>
      <c r="S20" s="7"/>
      <c r="T20" s="7"/>
      <c r="U20" s="7"/>
      <c r="V20" s="7"/>
      <c r="W20" s="7"/>
      <c r="X20" s="7"/>
      <c r="Y20" s="7"/>
      <c r="Z20" s="7"/>
    </row>
    <row r="21" spans="1:26" ht="12.75" customHeight="1">
      <c r="A21" s="7" t="s">
        <v>467</v>
      </c>
      <c r="B21" s="7" t="s">
        <v>468</v>
      </c>
      <c r="C21" s="7" t="s">
        <v>469</v>
      </c>
      <c r="D21" s="7" t="s">
        <v>470</v>
      </c>
      <c r="E21" s="7" t="s">
        <v>471</v>
      </c>
      <c r="F21" s="7" t="s">
        <v>139</v>
      </c>
      <c r="G21" s="7" t="s">
        <v>432</v>
      </c>
      <c r="H21" s="7" t="s">
        <v>182</v>
      </c>
      <c r="I21" s="7" t="s">
        <v>139</v>
      </c>
      <c r="J21" s="7" t="s">
        <v>432</v>
      </c>
      <c r="K21" s="7" t="s">
        <v>184</v>
      </c>
      <c r="L21" s="7" t="s">
        <v>139</v>
      </c>
      <c r="M21" s="7"/>
      <c r="N21" s="7"/>
      <c r="O21" s="7"/>
      <c r="P21" s="7"/>
      <c r="Q21" s="74"/>
      <c r="R21" s="7"/>
      <c r="S21" s="7"/>
      <c r="T21" s="7"/>
      <c r="U21" s="7"/>
      <c r="V21" s="7"/>
      <c r="W21" s="7"/>
      <c r="X21" s="7"/>
      <c r="Y21" s="7"/>
      <c r="Z21" s="7"/>
    </row>
    <row r="22" spans="1:26" ht="12.75" customHeight="1">
      <c r="A22" s="7" t="s">
        <v>472</v>
      </c>
      <c r="B22" s="7" t="s">
        <v>473</v>
      </c>
      <c r="C22" s="7" t="s">
        <v>474</v>
      </c>
      <c r="D22" s="7" t="s">
        <v>475</v>
      </c>
      <c r="E22" s="7" t="s">
        <v>476</v>
      </c>
      <c r="F22" s="7" t="s">
        <v>139</v>
      </c>
      <c r="G22" s="7" t="s">
        <v>432</v>
      </c>
      <c r="H22" s="7" t="s">
        <v>182</v>
      </c>
      <c r="I22" s="7" t="s">
        <v>139</v>
      </c>
      <c r="J22" s="7" t="s">
        <v>432</v>
      </c>
      <c r="K22" s="7" t="s">
        <v>184</v>
      </c>
      <c r="L22" s="7" t="s">
        <v>139</v>
      </c>
      <c r="M22" s="7"/>
      <c r="N22" s="7"/>
      <c r="O22" s="7"/>
      <c r="P22" s="7"/>
      <c r="Q22" s="74"/>
      <c r="R22" s="7"/>
      <c r="S22" s="7"/>
      <c r="T22" s="7"/>
      <c r="U22" s="7"/>
      <c r="V22" s="7"/>
      <c r="W22" s="7"/>
      <c r="X22" s="7"/>
      <c r="Y22" s="7"/>
      <c r="Z22" s="7"/>
    </row>
    <row r="23" spans="1:26" ht="12.75" customHeight="1">
      <c r="A23" s="7" t="s">
        <v>153</v>
      </c>
      <c r="B23" s="7"/>
      <c r="C23" s="7"/>
      <c r="D23" s="7"/>
      <c r="E23" s="7"/>
      <c r="F23" s="7"/>
      <c r="G23" s="7"/>
      <c r="H23" s="7"/>
      <c r="I23" s="7"/>
      <c r="J23" s="7"/>
      <c r="K23" s="7"/>
      <c r="L23" s="7"/>
      <c r="M23" s="7"/>
      <c r="N23" s="7"/>
      <c r="O23" s="7"/>
      <c r="P23" s="7"/>
      <c r="Q23" s="74"/>
      <c r="R23" s="7"/>
      <c r="S23" s="7"/>
      <c r="T23" s="7"/>
      <c r="U23" s="7"/>
      <c r="V23" s="7"/>
      <c r="W23" s="7"/>
      <c r="X23" s="7"/>
      <c r="Y23" s="7"/>
      <c r="Z23" s="7"/>
    </row>
    <row r="24" spans="1:26" ht="12.75" customHeight="1">
      <c r="A24" s="7" t="s">
        <v>477</v>
      </c>
      <c r="B24" s="7" t="s">
        <v>478</v>
      </c>
      <c r="C24" s="7" t="s">
        <v>479</v>
      </c>
      <c r="D24" s="7" t="s">
        <v>480</v>
      </c>
      <c r="E24" s="7" t="s">
        <v>481</v>
      </c>
      <c r="F24" s="7" t="s">
        <v>139</v>
      </c>
      <c r="G24" s="7" t="s">
        <v>432</v>
      </c>
      <c r="H24" s="7" t="s">
        <v>182</v>
      </c>
      <c r="I24" s="7" t="s">
        <v>139</v>
      </c>
      <c r="J24" s="7" t="s">
        <v>432</v>
      </c>
      <c r="K24" s="7" t="s">
        <v>184</v>
      </c>
      <c r="L24" s="7" t="s">
        <v>139</v>
      </c>
      <c r="M24" s="7"/>
      <c r="N24" s="7"/>
      <c r="O24" s="7"/>
      <c r="P24" s="7"/>
      <c r="Q24" s="74"/>
      <c r="R24" s="7"/>
      <c r="S24" s="7"/>
      <c r="T24" s="7"/>
      <c r="U24" s="7"/>
      <c r="V24" s="7"/>
      <c r="W24" s="7"/>
      <c r="X24" s="7"/>
      <c r="Y24" s="7"/>
      <c r="Z24" s="7"/>
    </row>
    <row r="25" spans="1:26" ht="12.75" customHeight="1">
      <c r="A25" s="7" t="s">
        <v>482</v>
      </c>
      <c r="B25" s="7" t="s">
        <v>483</v>
      </c>
      <c r="C25" s="7" t="s">
        <v>484</v>
      </c>
      <c r="D25" s="7" t="s">
        <v>485</v>
      </c>
      <c r="E25" s="7" t="s">
        <v>442</v>
      </c>
      <c r="F25" s="7" t="s">
        <v>139</v>
      </c>
      <c r="G25" s="7" t="s">
        <v>432</v>
      </c>
      <c r="H25" s="7" t="s">
        <v>182</v>
      </c>
      <c r="I25" s="7" t="s">
        <v>139</v>
      </c>
      <c r="J25" s="7" t="s">
        <v>432</v>
      </c>
      <c r="K25" s="7" t="s">
        <v>184</v>
      </c>
      <c r="L25" s="7" t="s">
        <v>139</v>
      </c>
      <c r="M25" s="7"/>
      <c r="N25" s="7"/>
      <c r="O25" s="7"/>
      <c r="P25" s="7"/>
      <c r="Q25" s="74"/>
      <c r="R25" s="7"/>
      <c r="S25" s="7"/>
      <c r="T25" s="7"/>
      <c r="U25" s="7"/>
      <c r="V25" s="7"/>
      <c r="W25" s="7"/>
      <c r="X25" s="7"/>
      <c r="Y25" s="7"/>
      <c r="Z25" s="7"/>
    </row>
    <row r="26" spans="1:26" ht="12.75" customHeight="1">
      <c r="A26" s="7" t="s">
        <v>486</v>
      </c>
      <c r="B26" s="7" t="s">
        <v>487</v>
      </c>
      <c r="C26" s="7" t="s">
        <v>488</v>
      </c>
      <c r="D26" s="7" t="s">
        <v>489</v>
      </c>
      <c r="E26" s="7" t="s">
        <v>442</v>
      </c>
      <c r="F26" s="7" t="s">
        <v>139</v>
      </c>
      <c r="G26" s="7" t="s">
        <v>432</v>
      </c>
      <c r="H26" s="7" t="s">
        <v>182</v>
      </c>
      <c r="I26" s="7" t="s">
        <v>139</v>
      </c>
      <c r="J26" s="7" t="s">
        <v>432</v>
      </c>
      <c r="K26" s="7" t="s">
        <v>184</v>
      </c>
      <c r="L26" s="7" t="s">
        <v>139</v>
      </c>
      <c r="M26" s="7"/>
      <c r="N26" s="7"/>
      <c r="O26" s="7"/>
      <c r="P26" s="7"/>
      <c r="Q26" s="74"/>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4"/>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4"/>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4"/>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4"/>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4"/>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4"/>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4"/>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4"/>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4"/>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4"/>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4"/>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4"/>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4"/>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4"/>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4"/>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4"/>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4"/>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4"/>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4"/>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4"/>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4"/>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4"/>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4"/>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4"/>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4"/>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4"/>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4"/>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4"/>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4"/>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4"/>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4"/>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4"/>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4"/>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4"/>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4"/>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4"/>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4"/>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4"/>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4"/>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4"/>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4"/>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4"/>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4"/>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4"/>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4"/>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4"/>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4"/>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4"/>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4"/>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4"/>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4"/>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4"/>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4"/>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4"/>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4"/>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4"/>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4"/>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4"/>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4"/>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4"/>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4"/>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4"/>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4"/>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4"/>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4"/>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4"/>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4"/>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4"/>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4"/>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4"/>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4"/>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4"/>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4"/>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4"/>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4"/>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4"/>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4"/>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4"/>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4"/>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4"/>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4"/>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4"/>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4"/>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4"/>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4"/>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4"/>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4"/>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4"/>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4"/>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4"/>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4"/>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4"/>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4"/>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4"/>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4"/>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4"/>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4"/>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4"/>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4"/>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4"/>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4"/>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4"/>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4"/>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4"/>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4"/>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4"/>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4"/>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4"/>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4"/>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4"/>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4"/>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4"/>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4"/>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4"/>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4"/>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4"/>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4"/>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4"/>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4"/>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4"/>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4"/>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4"/>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4"/>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4"/>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4"/>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4"/>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4"/>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4"/>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4"/>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4"/>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4"/>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4"/>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4"/>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4"/>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4"/>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4"/>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4"/>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4"/>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4"/>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4"/>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4"/>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4"/>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4"/>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4"/>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4"/>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4"/>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4"/>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4"/>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4"/>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4"/>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4"/>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4"/>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4"/>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4"/>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4"/>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4"/>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4"/>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4"/>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4"/>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4"/>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4"/>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4"/>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4"/>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4"/>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4"/>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4"/>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4"/>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4"/>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4"/>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4"/>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4"/>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4"/>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4"/>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4"/>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4"/>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4"/>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4"/>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4"/>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4"/>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4"/>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4"/>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4"/>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4"/>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4"/>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4"/>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4"/>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4"/>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4"/>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4"/>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4"/>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4"/>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4"/>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4"/>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4"/>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4"/>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4"/>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4"/>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4"/>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4"/>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4"/>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4"/>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4"/>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4"/>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4"/>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4"/>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4"/>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4"/>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4"/>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4"/>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4"/>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4"/>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4"/>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4"/>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4"/>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4"/>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4"/>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4"/>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4"/>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4"/>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4"/>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4"/>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4"/>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4"/>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4"/>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4"/>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4"/>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4"/>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4"/>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4"/>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4"/>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4"/>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4"/>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4"/>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4"/>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4"/>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4"/>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4"/>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4"/>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4"/>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4"/>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4"/>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4"/>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4"/>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4"/>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4"/>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4"/>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4"/>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4"/>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4"/>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4"/>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4"/>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4"/>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4"/>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4"/>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4"/>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4"/>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4"/>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4"/>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4"/>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4"/>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4"/>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4"/>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4"/>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4"/>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4"/>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4"/>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4"/>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4"/>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4"/>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4"/>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4"/>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4"/>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4"/>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4"/>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4"/>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4"/>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4"/>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4"/>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4"/>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4"/>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4"/>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4"/>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4"/>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4"/>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4"/>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4"/>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4"/>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4"/>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4"/>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4"/>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4"/>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4"/>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4"/>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4"/>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4"/>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4"/>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4"/>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4"/>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4"/>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4"/>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4"/>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4"/>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4"/>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4"/>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4"/>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4"/>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4"/>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4"/>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4"/>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4"/>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4"/>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4"/>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4"/>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4"/>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4"/>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4"/>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4"/>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4"/>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4"/>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4"/>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4"/>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4"/>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4"/>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4"/>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4"/>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4"/>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4"/>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4"/>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4"/>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4"/>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4"/>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4"/>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4"/>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4"/>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4"/>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4"/>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4"/>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4"/>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4"/>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4"/>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4"/>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4"/>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4"/>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4"/>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4"/>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4"/>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4"/>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4"/>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4"/>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4"/>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4"/>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4"/>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4"/>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4"/>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4"/>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4"/>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4"/>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4"/>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4"/>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4"/>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4"/>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4"/>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4"/>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4"/>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4"/>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4"/>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4"/>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4"/>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4"/>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4"/>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4"/>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4"/>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4"/>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4"/>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4"/>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4"/>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4"/>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4"/>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4"/>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4"/>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4"/>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4"/>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4"/>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4"/>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4"/>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4"/>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4"/>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4"/>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4"/>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4"/>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4"/>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4"/>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4"/>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4"/>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4"/>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4"/>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4"/>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4"/>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4"/>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4"/>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4"/>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4"/>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4"/>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4"/>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4"/>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4"/>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4"/>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4"/>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4"/>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4"/>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4"/>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4"/>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4"/>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4"/>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4"/>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4"/>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4"/>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4"/>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4"/>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4"/>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4"/>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4"/>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4"/>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4"/>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4"/>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4"/>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4"/>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4"/>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4"/>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4"/>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4"/>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4"/>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4"/>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4"/>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4"/>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4"/>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4"/>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4"/>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4"/>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4"/>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4"/>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4"/>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4"/>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4"/>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4"/>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4"/>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4"/>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4"/>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4"/>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4"/>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4"/>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4"/>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4"/>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4"/>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4"/>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4"/>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4"/>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4"/>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4"/>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4"/>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4"/>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4"/>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4"/>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4"/>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4"/>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4"/>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4"/>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4"/>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4"/>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4"/>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4"/>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4"/>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4"/>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4"/>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4"/>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4"/>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4"/>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4"/>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4"/>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4"/>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4"/>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4"/>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4"/>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4"/>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4"/>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4"/>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4"/>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4"/>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4"/>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4"/>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4"/>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4"/>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4"/>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4"/>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4"/>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4"/>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4"/>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4"/>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4"/>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4"/>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4"/>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4"/>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4"/>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4"/>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4"/>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4"/>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4"/>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4"/>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4"/>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4"/>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4"/>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4"/>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4"/>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4"/>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4"/>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4"/>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4"/>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4"/>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4"/>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4"/>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4"/>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4"/>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4"/>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4"/>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4"/>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4"/>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4"/>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4"/>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4"/>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4"/>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4"/>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4"/>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4"/>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4"/>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4"/>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4"/>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4"/>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4"/>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4"/>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4"/>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4"/>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4"/>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4"/>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4"/>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4"/>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4"/>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4"/>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4"/>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4"/>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4"/>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4"/>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4"/>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4"/>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4"/>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4"/>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4"/>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4"/>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4"/>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4"/>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4"/>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4"/>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4"/>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4"/>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4"/>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4"/>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4"/>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4"/>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4"/>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4"/>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4"/>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4"/>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4"/>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4"/>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4"/>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4"/>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4"/>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4"/>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4"/>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4"/>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4"/>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4"/>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4"/>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4"/>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4"/>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4"/>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4"/>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4"/>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4"/>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4"/>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4"/>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4"/>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4"/>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4"/>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4"/>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4"/>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4"/>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4"/>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4"/>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4"/>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4"/>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4"/>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4"/>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4"/>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4"/>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4"/>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4"/>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4"/>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4"/>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4"/>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4"/>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4"/>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4"/>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4"/>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4"/>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4"/>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4"/>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4"/>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4"/>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4"/>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4"/>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4"/>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4"/>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4"/>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4"/>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4"/>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4"/>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4"/>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4"/>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4"/>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4"/>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4"/>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4"/>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4"/>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4"/>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4"/>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4"/>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4"/>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4"/>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4"/>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4"/>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4"/>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4"/>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4"/>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4"/>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4"/>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4"/>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4"/>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4"/>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4"/>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4"/>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4"/>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4"/>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4"/>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4"/>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4"/>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4"/>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4"/>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4"/>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4"/>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4"/>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4"/>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4"/>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4"/>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4"/>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4"/>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4"/>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4"/>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4"/>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4"/>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4"/>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4"/>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4"/>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4"/>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4"/>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4"/>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4"/>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4"/>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4"/>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4"/>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4"/>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4"/>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4"/>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4"/>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4"/>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4"/>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4"/>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4"/>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4"/>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4"/>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4"/>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4"/>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4"/>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4"/>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4"/>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4"/>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4"/>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4"/>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4"/>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4"/>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4"/>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4"/>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4"/>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4"/>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4"/>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4"/>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4"/>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4"/>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4"/>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4"/>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4"/>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4"/>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4"/>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4"/>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4"/>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4"/>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4"/>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4"/>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4"/>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4"/>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4"/>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4"/>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4"/>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4"/>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4"/>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4"/>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4"/>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4"/>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4"/>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4"/>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4"/>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4"/>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4"/>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4"/>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4"/>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4"/>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4"/>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4"/>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4"/>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4"/>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4"/>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4"/>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4"/>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4"/>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4"/>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4"/>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4"/>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4"/>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4"/>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4"/>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4"/>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4"/>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4"/>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4"/>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4"/>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4"/>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4"/>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4"/>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4"/>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4"/>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4"/>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4"/>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4"/>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4"/>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4"/>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4"/>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4"/>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4"/>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4"/>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4"/>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4"/>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4"/>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4"/>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4"/>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4"/>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4"/>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4"/>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4"/>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4"/>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4"/>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4"/>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4"/>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4"/>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4"/>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4"/>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4"/>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4"/>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4"/>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4"/>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4"/>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4"/>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4"/>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4"/>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4"/>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4"/>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4"/>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4"/>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4"/>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4"/>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4"/>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4"/>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4"/>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4"/>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4"/>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4"/>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4"/>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4"/>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4"/>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4"/>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4"/>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4"/>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4"/>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4"/>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4"/>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4"/>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4"/>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4"/>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4"/>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4"/>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4"/>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4"/>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4"/>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4"/>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4"/>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4"/>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4"/>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4"/>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4"/>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4"/>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4"/>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4"/>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4"/>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4"/>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4"/>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4"/>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4"/>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4"/>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4"/>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4"/>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4"/>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4"/>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4"/>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4"/>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4"/>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4"/>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4"/>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4"/>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4"/>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4"/>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4"/>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4"/>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4"/>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4"/>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4"/>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4"/>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4"/>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4"/>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4"/>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4"/>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4"/>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4"/>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4"/>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4"/>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4"/>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4"/>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4"/>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4"/>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4"/>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4"/>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4"/>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4"/>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4"/>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4"/>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4"/>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4"/>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4"/>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4"/>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4"/>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4"/>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4"/>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4"/>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4"/>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4"/>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4"/>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4"/>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4"/>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4"/>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4"/>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4"/>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4"/>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4"/>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4"/>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4"/>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4"/>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4"/>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4"/>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4"/>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4"/>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4"/>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4"/>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4"/>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4"/>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4"/>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4"/>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4"/>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4"/>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4"/>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4"/>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4"/>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4"/>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4"/>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4"/>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4"/>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4"/>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4"/>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4"/>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4"/>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4"/>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4"/>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4"/>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4"/>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4"/>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4"/>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4"/>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4"/>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4"/>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4"/>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4"/>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4"/>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4"/>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4"/>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4"/>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4"/>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4"/>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4"/>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4"/>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4"/>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4"/>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4"/>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4"/>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4"/>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4"/>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4"/>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4"/>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4"/>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4"/>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4"/>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4"/>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4"/>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4"/>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4"/>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4"/>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4"/>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4"/>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4"/>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4"/>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4"/>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4"/>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4"/>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4"/>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4"/>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4"/>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4"/>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4"/>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4"/>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4"/>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4"/>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4"/>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4"/>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4"/>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4"/>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4"/>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4"/>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4"/>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4"/>
      <c r="R1000" s="7"/>
      <c r="S1000" s="7"/>
      <c r="T1000" s="7"/>
      <c r="U1000" s="7"/>
      <c r="V1000" s="7"/>
      <c r="W1000" s="7"/>
      <c r="X1000" s="7"/>
      <c r="Y1000" s="7"/>
      <c r="Z1000" s="7"/>
    </row>
  </sheetData>
  <mergeCells count="3">
    <mergeCell ref="B2:E2"/>
    <mergeCell ref="B3:E3"/>
    <mergeCell ref="B4:E4"/>
  </mergeCells>
  <dataValidations count="15">
    <dataValidation type="list" allowBlank="1" showErrorMessage="1" sqref="F12:F17">
      <formula1>$R$2:$R$5</formula1>
    </dataValidation>
    <dataValidation type="list" allowBlank="1" showErrorMessage="1" sqref="G100:G142">
      <formula1>$R$2:$R$5</formula1>
    </dataValidation>
    <dataValidation type="list" allowBlank="1" showErrorMessage="1" sqref="G18:G142">
      <formula1>$R$2:$R$5</formula1>
    </dataValidation>
    <dataValidation type="list" allowBlank="1" showErrorMessage="1" sqref="G2:G3">
      <formula1>$R$2:$R$5</formula1>
    </dataValidation>
    <dataValidation type="list" allowBlank="1" showErrorMessage="1" sqref="G9">
      <formula1>$R$2:$R$5</formula1>
    </dataValidation>
    <dataValidation type="list" allowBlank="1" showErrorMessage="1" sqref="I12:I17">
      <formula1>$R$2:$R$5</formula1>
    </dataValidation>
    <dataValidation type="list" allowBlank="1" showErrorMessage="1" sqref="J100:J142">
      <formula1>$R$2:$R$5</formula1>
    </dataValidation>
    <dataValidation type="list" allowBlank="1" showErrorMessage="1" sqref="J18:J142">
      <formula1>$R$2:$R$5</formula1>
    </dataValidation>
    <dataValidation type="list" allowBlank="1" showErrorMessage="1" sqref="J2:J3">
      <formula1>$R$2:$R$5</formula1>
    </dataValidation>
    <dataValidation type="list" allowBlank="1" showErrorMessage="1" sqref="J9">
      <formula1>$R$2:$R$5</formula1>
    </dataValidation>
    <dataValidation type="list" allowBlank="1" showErrorMessage="1" sqref="L12:L17">
      <formula1>$R$2:$R$5</formula1>
    </dataValidation>
    <dataValidation type="list" allowBlank="1" showErrorMessage="1" sqref="M100:M142">
      <formula1>$R$2:$R$5</formula1>
    </dataValidation>
    <dataValidation type="list" allowBlank="1" showErrorMessage="1" sqref="M18:M142">
      <formula1>$R$2:$R$5</formula1>
    </dataValidation>
    <dataValidation type="list" allowBlank="1" showErrorMessage="1" sqref="M2:M3">
      <formula1>$R$2:$R$5</formula1>
    </dataValidation>
    <dataValidation type="list" allowBlank="1" showErrorMessage="1" sqref="M9">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Cases</vt:lpstr>
      <vt:lpstr>Test Statistics</vt:lpstr>
      <vt:lpstr>Admin</vt:lpstr>
      <vt:lpstr>Expert</vt:lpstr>
      <vt:lpstr>Lecturer</vt:lpstr>
      <vt:lpstr>Student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2020-03-17T17:34:29Z</dcterms:created>
  <dcterms:modified xsi:type="dcterms:W3CDTF">2026-05-20T09:15:16Z</dcterms:modified>
</cp:coreProperties>
</file>